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ill\Documents\GitHub\school\Stat101\datasets\"/>
    </mc:Choice>
  </mc:AlternateContent>
  <xr:revisionPtr revIDLastSave="0" documentId="8_{4EE83D13-F38B-466A-B324-A4DBD01E8D3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Sheet" sheetId="1" r:id="rId1"/>
    <sheet name="CPI Per Ye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2" l="1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2" i="2"/>
  <c r="D2" i="2"/>
  <c r="D7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6" i="2"/>
  <c r="D5" i="2"/>
  <c r="D4" i="2"/>
  <c r="D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<sst xmlns="http://schemas.openxmlformats.org/spreadsheetml/2006/main" count="35" uniqueCount="34">
  <si>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</si>
  <si>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</si>
  <si>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</si>
  <si>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</si>
  <si>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</si>
  <si>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</si>
  <si>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</si>
  <si>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</si>
  <si>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</si>
  <si>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</si>
  <si>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</si>
  <si>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</si>
  <si>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</si>
  <si>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</si>
  <si>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1975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</si>
  <si>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</si>
  <si>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</si>
  <si>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</si>
  <si>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</si>
  <si>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</si>
  <si>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</si>
  <si>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</si>
  <si>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</si>
  <si>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</si>
  <si>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</si>
  <si>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</si>
  <si>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</si>
  <si>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</si>
  <si>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</si>
  <si>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</si>
  <si>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Mean</t>
  </si>
  <si>
    <t>Median</t>
  </si>
  <si>
    <t>Mode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</si>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</sst>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1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zoomScaleNormal="100" workbookViewId="0">
      <pane ySplit="12" topLeftCell="A13" activePane="bottomLeft" state="frozen"/>
      <selection pane="bottomLeft" activeCell="B13" sqref="B13:M13"/>
    </sheetView>
  </sheetViews>
  <sheetFormatPr defaultRowHeight="14.5" x14ac:dyDescent="0.35"/>
  <cols>
    <col min="1" max="1" width="20" customWidth="1"/>
    <col min="2" max="2" width="8" customWidth="1"/>
  </cols>
  <sheetData>
    <row r="1" spans="1:15" ht="15.5" x14ac:dyDescent="0.35">
      <c r="A1" s="6" t="s">
        <v>0</v>
      </c>
      <c r="B1" s="7"/>
      <c r="C1" s="7"/>
      <c r="D1" s="7"/>
      <c r="E1" s="7"/>
      <c r="F1" s="7"/>
    </row>
    <row r="2" spans="1:15" ht="15.5" x14ac:dyDescent="0.35">
      <c r="A2" s="6" t="s">
        <v>1</v>
      </c>
      <c r="B2" s="7"/>
      <c r="C2" s="7"/>
      <c r="D2" s="7"/>
      <c r="E2" s="7"/>
      <c r="F2" s="7"/>
    </row>
    <row r="3" spans="1:15" x14ac:dyDescent="0.35">
      <c r="A3" s="7"/>
      <c r="B3" s="7"/>
      <c r="C3" s="7"/>
      <c r="D3" s="7"/>
      <c r="E3" s="7"/>
      <c r="F3" s="7"/>
    </row>
    <row r="4" spans="1:15" x14ac:dyDescent="0.35">
      <c r="A4" s="5" t="s">
        <v>2</v>
      </c>
      <c r="B4" s="8" t="s">
        <v>3</v>
      </c>
      <c r="C4" s="7"/>
      <c r="D4" s="7"/>
      <c r="E4" s="7"/>
      <c r="F4" s="7"/>
    </row>
    <row r="5" spans="1:15" x14ac:dyDescent="0.35">
      <c r="A5" s="9" t="s">
        <v>4</v>
      </c>
      <c r="B5" s="7"/>
      <c r="C5" s="7"/>
      <c r="D5" s="7"/>
      <c r="E5" s="7"/>
      <c r="F5" s="7"/>
    </row>
    <row r="6" spans="1:15" x14ac:dyDescent="0.35">
      <c r="A6" s="5" t="s">
        <v>5</v>
      </c>
      <c r="B6" s="8" t="s">
        <v>6</v>
      </c>
      <c r="C6" s="7"/>
      <c r="D6" s="7"/>
      <c r="E6" s="7"/>
      <c r="F6" s="7"/>
    </row>
    <row r="7" spans="1:15" x14ac:dyDescent="0.35">
      <c r="A7" s="5" t="s">
        <v>7</v>
      </c>
      <c r="B7" s="8" t="s">
        <v>8</v>
      </c>
      <c r="C7" s="7"/>
      <c r="D7" s="7"/>
      <c r="E7" s="7"/>
      <c r="F7" s="7"/>
    </row>
    <row r="8" spans="1:15" x14ac:dyDescent="0.35">
      <c r="A8" s="5" t="s">
        <v>9</v>
      </c>
      <c r="B8" s="8" t="s">
        <v>10</v>
      </c>
      <c r="C8" s="7"/>
      <c r="D8" s="7"/>
      <c r="E8" s="7"/>
      <c r="F8" s="7"/>
    </row>
    <row r="9" spans="1:15" x14ac:dyDescent="0.35">
      <c r="A9" s="5" t="s">
        <v>11</v>
      </c>
      <c r="B9" s="8" t="s">
        <v>12</v>
      </c>
      <c r="C9" s="7"/>
      <c r="D9" s="7"/>
      <c r="E9" s="7"/>
      <c r="F9" s="7"/>
    </row>
    <row r="10" spans="1:15" x14ac:dyDescent="0.35">
      <c r="A10" s="5" t="s">
        <v>13</v>
      </c>
      <c r="B10" s="10" t="s">
        <v>14</v>
      </c>
      <c r="C10" s="7"/>
      <c r="D10" s="7"/>
      <c r="E10" s="7"/>
      <c r="F10" s="7"/>
    </row>
    <row r="12" spans="1:15" x14ac:dyDescent="0.3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35">
      <c r="A13" s="2">
        <v>1975</v>
      </c>
      <c r="B13" s="3">
        <v>52.1</v>
      </c>
      <c r="C13" s="3">
        <v>52.5</v>
      </c>
      <c r="D13" s="3">
        <v>52.7</v>
      </c>
      <c r="E13" s="3">
        <v>52.9</v>
      </c>
      <c r="F13" s="3">
        <v>53.2</v>
      </c>
      <c r="G13" s="3">
        <v>53.6</v>
      </c>
      <c r="H13" s="3">
        <v>54.2</v>
      </c>
      <c r="I13" s="3">
        <v>54.3</v>
      </c>
      <c r="J13" s="3">
        <v>54.6</v>
      </c>
      <c r="K13" s="3">
        <v>54.9</v>
      </c>
      <c r="L13" s="3">
        <v>55.3</v>
      </c>
      <c r="M13" s="3">
        <v>55.5</v>
      </c>
    </row>
    <row r="14" spans="1:15" x14ac:dyDescent="0.35">
      <c r="A14" s="2">
        <v>1976</v>
      </c>
      <c r="B14" s="3">
        <v>55.6</v>
      </c>
      <c r="C14" s="3">
        <v>55.8</v>
      </c>
      <c r="D14" s="3">
        <v>55.9</v>
      </c>
      <c r="E14" s="3">
        <v>56.1</v>
      </c>
      <c r="F14" s="3">
        <v>56.5</v>
      </c>
      <c r="G14" s="3">
        <v>56.8</v>
      </c>
      <c r="H14" s="3">
        <v>57.1</v>
      </c>
      <c r="I14" s="3">
        <v>57.4</v>
      </c>
      <c r="J14" s="3">
        <v>57.6</v>
      </c>
      <c r="K14" s="3">
        <v>57.9</v>
      </c>
      <c r="L14" s="3">
        <v>58</v>
      </c>
      <c r="M14" s="3">
        <v>58.2</v>
      </c>
    </row>
    <row r="15" spans="1:15" x14ac:dyDescent="0.35">
      <c r="A15" s="2">
        <v>1977</v>
      </c>
      <c r="B15" s="3">
        <v>58.5</v>
      </c>
      <c r="C15" s="3">
        <v>59.1</v>
      </c>
      <c r="D15" s="3">
        <v>59.5</v>
      </c>
      <c r="E15" s="3">
        <v>60</v>
      </c>
      <c r="F15" s="3">
        <v>60.3</v>
      </c>
      <c r="G15" s="3">
        <v>60.7</v>
      </c>
      <c r="H15" s="3">
        <v>61</v>
      </c>
      <c r="I15" s="3">
        <v>61.2</v>
      </c>
      <c r="J15" s="3">
        <v>61.4</v>
      </c>
      <c r="K15" s="3">
        <v>61.6</v>
      </c>
      <c r="L15" s="3">
        <v>61.9</v>
      </c>
      <c r="M15" s="3">
        <v>62.1</v>
      </c>
    </row>
    <row r="16" spans="1:15" x14ac:dyDescent="0.35">
      <c r="A16" s="2">
        <v>1978</v>
      </c>
      <c r="B16" s="3">
        <v>62.5</v>
      </c>
      <c r="C16" s="3">
        <v>62.9</v>
      </c>
      <c r="D16" s="3">
        <v>63.4</v>
      </c>
      <c r="E16" s="3">
        <v>63.9</v>
      </c>
      <c r="F16" s="3">
        <v>64.5</v>
      </c>
      <c r="G16" s="3">
        <v>65.2</v>
      </c>
      <c r="H16" s="3">
        <v>65.7</v>
      </c>
      <c r="I16" s="3">
        <v>66</v>
      </c>
      <c r="J16" s="3">
        <v>66.5</v>
      </c>
      <c r="K16" s="3">
        <v>67.099999999999994</v>
      </c>
      <c r="L16" s="3">
        <v>67.400000000000006</v>
      </c>
      <c r="M16" s="3">
        <v>67.7</v>
      </c>
    </row>
    <row r="17" spans="1:15" x14ac:dyDescent="0.35">
      <c r="A17" s="2">
        <v>1979</v>
      </c>
      <c r="B17" s="3">
        <v>68.3</v>
      </c>
      <c r="C17" s="3">
        <v>69.099999999999994</v>
      </c>
      <c r="D17" s="3">
        <v>69.8</v>
      </c>
      <c r="E17" s="3">
        <v>70.599999999999994</v>
      </c>
      <c r="F17" s="3">
        <v>71.5</v>
      </c>
      <c r="G17" s="3">
        <v>72.3</v>
      </c>
      <c r="H17" s="3">
        <v>73.099999999999994</v>
      </c>
      <c r="I17" s="3">
        <v>73.8</v>
      </c>
      <c r="J17" s="3">
        <v>74.599999999999994</v>
      </c>
      <c r="K17" s="3">
        <v>75.2</v>
      </c>
      <c r="L17" s="3">
        <v>75.900000000000006</v>
      </c>
      <c r="M17" s="3">
        <v>76.7</v>
      </c>
    </row>
    <row r="18" spans="1:15" x14ac:dyDescent="0.35">
      <c r="A18" s="2">
        <v>1980</v>
      </c>
      <c r="B18" s="3">
        <v>77.8</v>
      </c>
      <c r="C18" s="3">
        <v>78.900000000000006</v>
      </c>
      <c r="D18" s="3">
        <v>80.099999999999994</v>
      </c>
      <c r="E18" s="3">
        <v>81</v>
      </c>
      <c r="F18" s="3">
        <v>81.8</v>
      </c>
      <c r="G18" s="3">
        <v>82.7</v>
      </c>
      <c r="H18" s="3">
        <v>82.7</v>
      </c>
      <c r="I18" s="3">
        <v>83.3</v>
      </c>
      <c r="J18" s="3">
        <v>84</v>
      </c>
      <c r="K18" s="3">
        <v>84.8</v>
      </c>
      <c r="L18" s="3">
        <v>85.5</v>
      </c>
      <c r="M18" s="3">
        <v>86.3</v>
      </c>
    </row>
    <row r="19" spans="1:15" x14ac:dyDescent="0.35">
      <c r="A19" s="2">
        <v>1981</v>
      </c>
      <c r="B19" s="3">
        <v>87</v>
      </c>
      <c r="C19" s="3">
        <v>87.9</v>
      </c>
      <c r="D19" s="3">
        <v>88.5</v>
      </c>
      <c r="E19" s="3">
        <v>89.1</v>
      </c>
      <c r="F19" s="3">
        <v>89.8</v>
      </c>
      <c r="G19" s="3">
        <v>90.6</v>
      </c>
      <c r="H19" s="3">
        <v>91.6</v>
      </c>
      <c r="I19" s="3">
        <v>92.3</v>
      </c>
      <c r="J19" s="3">
        <v>93.2</v>
      </c>
      <c r="K19" s="3">
        <v>93.4</v>
      </c>
      <c r="L19" s="3">
        <v>93.7</v>
      </c>
      <c r="M19" s="3">
        <v>94</v>
      </c>
    </row>
    <row r="20" spans="1:15" x14ac:dyDescent="0.35">
      <c r="A20" s="2">
        <v>1982</v>
      </c>
      <c r="B20" s="3">
        <v>94.3</v>
      </c>
      <c r="C20" s="3">
        <v>94.6</v>
      </c>
      <c r="D20" s="3">
        <v>94.5</v>
      </c>
      <c r="E20" s="3">
        <v>94.9</v>
      </c>
      <c r="F20" s="3">
        <v>95.8</v>
      </c>
      <c r="G20" s="3">
        <v>97</v>
      </c>
      <c r="H20" s="3">
        <v>97.5</v>
      </c>
      <c r="I20" s="3">
        <v>97.7</v>
      </c>
      <c r="J20" s="3">
        <v>97.9</v>
      </c>
      <c r="K20" s="3">
        <v>98.2</v>
      </c>
      <c r="L20" s="3">
        <v>98</v>
      </c>
      <c r="M20" s="3">
        <v>97.6</v>
      </c>
    </row>
    <row r="21" spans="1:15" x14ac:dyDescent="0.35">
      <c r="A21" s="2">
        <v>1983</v>
      </c>
      <c r="B21" s="3">
        <v>97.8</v>
      </c>
      <c r="C21" s="3">
        <v>97.9</v>
      </c>
      <c r="D21" s="3">
        <v>97.9</v>
      </c>
      <c r="E21" s="3">
        <v>98.6</v>
      </c>
      <c r="F21" s="3">
        <v>99.2</v>
      </c>
      <c r="G21" s="3">
        <v>99.5</v>
      </c>
      <c r="H21" s="3">
        <v>99.9</v>
      </c>
      <c r="I21" s="3">
        <v>100.2</v>
      </c>
      <c r="J21" s="3">
        <v>100.7</v>
      </c>
      <c r="K21" s="3">
        <v>101</v>
      </c>
      <c r="L21" s="3">
        <v>101.2</v>
      </c>
      <c r="M21" s="3">
        <v>101.3</v>
      </c>
    </row>
    <row r="22" spans="1:15" x14ac:dyDescent="0.35">
      <c r="A22" s="2">
        <v>1984</v>
      </c>
      <c r="B22" s="3">
        <v>101.9</v>
      </c>
      <c r="C22" s="3">
        <v>102.4</v>
      </c>
      <c r="D22" s="3">
        <v>102.6</v>
      </c>
      <c r="E22" s="3">
        <v>103.1</v>
      </c>
      <c r="F22" s="3">
        <v>103.4</v>
      </c>
      <c r="G22" s="3">
        <v>103.7</v>
      </c>
      <c r="H22" s="3">
        <v>104.1</v>
      </c>
      <c r="I22" s="3">
        <v>104.5</v>
      </c>
      <c r="J22" s="3">
        <v>105</v>
      </c>
      <c r="K22" s="3">
        <v>105.3</v>
      </c>
      <c r="L22" s="3">
        <v>105.3</v>
      </c>
      <c r="M22" s="3">
        <v>105.3</v>
      </c>
      <c r="N22" s="3">
        <v>102.9</v>
      </c>
      <c r="O22" s="3">
        <v>104.9</v>
      </c>
    </row>
    <row r="23" spans="1:15" x14ac:dyDescent="0.35">
      <c r="A23" s="2">
        <v>1985</v>
      </c>
      <c r="B23" s="3">
        <v>105.5</v>
      </c>
      <c r="C23" s="3">
        <v>106</v>
      </c>
      <c r="D23" s="3">
        <v>106.4</v>
      </c>
      <c r="E23" s="3">
        <v>106.9</v>
      </c>
      <c r="F23" s="3">
        <v>107.3</v>
      </c>
      <c r="G23" s="3">
        <v>107.6</v>
      </c>
      <c r="H23" s="3">
        <v>107.8</v>
      </c>
      <c r="I23" s="3">
        <v>108</v>
      </c>
      <c r="J23" s="3">
        <v>108.3</v>
      </c>
      <c r="K23" s="3">
        <v>108.7</v>
      </c>
      <c r="L23" s="3">
        <v>109</v>
      </c>
      <c r="M23" s="3">
        <v>109.3</v>
      </c>
      <c r="N23" s="3">
        <v>106.6</v>
      </c>
      <c r="O23" s="3">
        <v>108.5</v>
      </c>
    </row>
    <row r="24" spans="1:15" x14ac:dyDescent="0.35">
      <c r="A24" s="2">
        <v>1986</v>
      </c>
      <c r="B24" s="3">
        <v>109.6</v>
      </c>
      <c r="C24" s="3">
        <v>109.3</v>
      </c>
      <c r="D24" s="3">
        <v>108.8</v>
      </c>
      <c r="E24" s="3">
        <v>108.6</v>
      </c>
      <c r="F24" s="3">
        <v>108.9</v>
      </c>
      <c r="G24" s="3">
        <v>109.5</v>
      </c>
      <c r="H24" s="3">
        <v>109.5</v>
      </c>
      <c r="I24" s="3">
        <v>109.7</v>
      </c>
      <c r="J24" s="3">
        <v>110.2</v>
      </c>
      <c r="K24" s="3">
        <v>110.3</v>
      </c>
      <c r="L24" s="3">
        <v>110.4</v>
      </c>
      <c r="M24" s="3">
        <v>110.5</v>
      </c>
      <c r="N24" s="3">
        <v>109.1</v>
      </c>
      <c r="O24" s="3">
        <v>110.1</v>
      </c>
    </row>
    <row r="25" spans="1:15" x14ac:dyDescent="0.35">
      <c r="A25" s="2">
        <v>1987</v>
      </c>
      <c r="B25" s="3">
        <v>111.2</v>
      </c>
      <c r="C25" s="3">
        <v>111.6</v>
      </c>
      <c r="D25" s="3">
        <v>112.1</v>
      </c>
      <c r="E25" s="3">
        <v>112.7</v>
      </c>
      <c r="F25" s="3">
        <v>113.1</v>
      </c>
      <c r="G25" s="3">
        <v>113.5</v>
      </c>
      <c r="H25" s="3">
        <v>113.8</v>
      </c>
      <c r="I25" s="3">
        <v>114.4</v>
      </c>
      <c r="J25" s="3">
        <v>115</v>
      </c>
      <c r="K25" s="3">
        <v>115.3</v>
      </c>
      <c r="L25" s="3">
        <v>115.4</v>
      </c>
      <c r="M25" s="3">
        <v>115.4</v>
      </c>
      <c r="N25" s="3">
        <v>112.4</v>
      </c>
      <c r="O25" s="3">
        <v>114.9</v>
      </c>
    </row>
    <row r="26" spans="1:15" x14ac:dyDescent="0.35">
      <c r="A26" s="2">
        <v>1988</v>
      </c>
      <c r="B26" s="3">
        <v>115.7</v>
      </c>
      <c r="C26" s="3">
        <v>116</v>
      </c>
      <c r="D26" s="3">
        <v>116.5</v>
      </c>
      <c r="E26" s="3">
        <v>117.1</v>
      </c>
      <c r="F26" s="3">
        <v>117.5</v>
      </c>
      <c r="G26" s="3">
        <v>118</v>
      </c>
      <c r="H26" s="3">
        <v>118.5</v>
      </c>
      <c r="I26" s="3">
        <v>119</v>
      </c>
      <c r="J26" s="3">
        <v>119.8</v>
      </c>
      <c r="K26" s="3">
        <v>120.2</v>
      </c>
      <c r="L26" s="3">
        <v>120.3</v>
      </c>
      <c r="M26" s="3">
        <v>120.5</v>
      </c>
      <c r="N26" s="3">
        <v>116.8</v>
      </c>
      <c r="O26" s="3">
        <v>119.7</v>
      </c>
    </row>
    <row r="27" spans="1:15" x14ac:dyDescent="0.35">
      <c r="A27" s="2">
        <v>1989</v>
      </c>
      <c r="B27" s="3">
        <v>121.1</v>
      </c>
      <c r="C27" s="3">
        <v>121.6</v>
      </c>
      <c r="D27" s="3">
        <v>122.3</v>
      </c>
      <c r="E27" s="3">
        <v>123.1</v>
      </c>
      <c r="F27" s="3">
        <v>123.8</v>
      </c>
      <c r="G27" s="3">
        <v>124.1</v>
      </c>
      <c r="H27" s="3">
        <v>124.4</v>
      </c>
      <c r="I27" s="3">
        <v>124.6</v>
      </c>
      <c r="J27" s="3">
        <v>125</v>
      </c>
      <c r="K27" s="3">
        <v>125.6</v>
      </c>
      <c r="L27" s="3">
        <v>125.9</v>
      </c>
      <c r="M27" s="3">
        <v>126.1</v>
      </c>
      <c r="N27" s="3">
        <v>122.7</v>
      </c>
      <c r="O27" s="3">
        <v>125.3</v>
      </c>
    </row>
    <row r="28" spans="1:15" x14ac:dyDescent="0.35">
      <c r="A28" s="2">
        <v>1990</v>
      </c>
      <c r="B28" s="3">
        <v>127.4</v>
      </c>
      <c r="C28" s="3">
        <v>128</v>
      </c>
      <c r="D28" s="3">
        <v>128.69999999999999</v>
      </c>
      <c r="E28" s="3">
        <v>128.9</v>
      </c>
      <c r="F28" s="3">
        <v>129.19999999999999</v>
      </c>
      <c r="G28" s="3">
        <v>129.9</v>
      </c>
      <c r="H28" s="3">
        <v>130.4</v>
      </c>
      <c r="I28" s="3">
        <v>131.6</v>
      </c>
      <c r="J28" s="3">
        <v>132.69999999999999</v>
      </c>
      <c r="K28" s="3">
        <v>133.5</v>
      </c>
      <c r="L28" s="3">
        <v>133.80000000000001</v>
      </c>
      <c r="M28" s="3">
        <v>133.80000000000001</v>
      </c>
      <c r="N28" s="3">
        <v>128.69999999999999</v>
      </c>
      <c r="O28" s="3">
        <v>132.6</v>
      </c>
    </row>
    <row r="29" spans="1:15" x14ac:dyDescent="0.35">
      <c r="A29" s="2">
        <v>1991</v>
      </c>
      <c r="B29" s="3">
        <v>134.6</v>
      </c>
      <c r="C29" s="3">
        <v>134.80000000000001</v>
      </c>
      <c r="D29" s="3">
        <v>135</v>
      </c>
      <c r="E29" s="3">
        <v>135.19999999999999</v>
      </c>
      <c r="F29" s="3">
        <v>135.6</v>
      </c>
      <c r="G29" s="3">
        <v>136</v>
      </c>
      <c r="H29" s="3">
        <v>136.19999999999999</v>
      </c>
      <c r="I29" s="3">
        <v>136.6</v>
      </c>
      <c r="J29" s="3">
        <v>137.19999999999999</v>
      </c>
      <c r="K29" s="3">
        <v>137.4</v>
      </c>
      <c r="L29" s="3">
        <v>137.80000000000001</v>
      </c>
      <c r="M29" s="3">
        <v>137.9</v>
      </c>
      <c r="N29" s="3">
        <v>135.19999999999999</v>
      </c>
      <c r="O29" s="3">
        <v>137.19999999999999</v>
      </c>
    </row>
    <row r="30" spans="1:15" x14ac:dyDescent="0.35">
      <c r="A30" s="2">
        <v>1992</v>
      </c>
      <c r="B30" s="3">
        <v>138.1</v>
      </c>
      <c r="C30" s="3">
        <v>138.6</v>
      </c>
      <c r="D30" s="3">
        <v>139.30000000000001</v>
      </c>
      <c r="E30" s="3">
        <v>139.5</v>
      </c>
      <c r="F30" s="3">
        <v>139.69999999999999</v>
      </c>
      <c r="G30" s="3">
        <v>140.19999999999999</v>
      </c>
      <c r="H30" s="3">
        <v>140.5</v>
      </c>
      <c r="I30" s="3">
        <v>140.9</v>
      </c>
      <c r="J30" s="3">
        <v>141.30000000000001</v>
      </c>
      <c r="K30" s="3">
        <v>141.80000000000001</v>
      </c>
      <c r="L30" s="3">
        <v>142</v>
      </c>
      <c r="M30" s="3">
        <v>141.9</v>
      </c>
      <c r="N30" s="3">
        <v>139.19999999999999</v>
      </c>
      <c r="O30" s="3">
        <v>141.4</v>
      </c>
    </row>
    <row r="31" spans="1:15" x14ac:dyDescent="0.35">
      <c r="A31" s="2">
        <v>1993</v>
      </c>
      <c r="B31" s="3">
        <v>142.6</v>
      </c>
      <c r="C31" s="3">
        <v>143.1</v>
      </c>
      <c r="D31" s="3">
        <v>143.6</v>
      </c>
      <c r="E31" s="3">
        <v>144</v>
      </c>
      <c r="F31" s="3">
        <v>144.19999999999999</v>
      </c>
      <c r="G31" s="3">
        <v>144.4</v>
      </c>
      <c r="H31" s="3">
        <v>144.4</v>
      </c>
      <c r="I31" s="3">
        <v>144.80000000000001</v>
      </c>
      <c r="J31" s="3">
        <v>145.1</v>
      </c>
      <c r="K31" s="3">
        <v>145.69999999999999</v>
      </c>
      <c r="L31" s="3">
        <v>145.80000000000001</v>
      </c>
      <c r="M31" s="3">
        <v>145.80000000000001</v>
      </c>
      <c r="N31" s="3">
        <v>143.69999999999999</v>
      </c>
      <c r="O31" s="3">
        <v>145.30000000000001</v>
      </c>
    </row>
    <row r="32" spans="1:15" x14ac:dyDescent="0.35">
      <c r="A32" s="2">
        <v>1994</v>
      </c>
      <c r="B32" s="3">
        <v>146.19999999999999</v>
      </c>
      <c r="C32" s="3">
        <v>146.69999999999999</v>
      </c>
      <c r="D32" s="3">
        <v>147.19999999999999</v>
      </c>
      <c r="E32" s="3">
        <v>147.4</v>
      </c>
      <c r="F32" s="3">
        <v>147.5</v>
      </c>
      <c r="G32" s="3">
        <v>148</v>
      </c>
      <c r="H32" s="3">
        <v>148.4</v>
      </c>
      <c r="I32" s="3">
        <v>149</v>
      </c>
      <c r="J32" s="3">
        <v>149.4</v>
      </c>
      <c r="K32" s="3">
        <v>149.5</v>
      </c>
      <c r="L32" s="3">
        <v>149.69999999999999</v>
      </c>
      <c r="M32" s="3">
        <v>149.69999999999999</v>
      </c>
      <c r="N32" s="3">
        <v>147.19999999999999</v>
      </c>
      <c r="O32" s="3">
        <v>149.30000000000001</v>
      </c>
    </row>
    <row r="33" spans="1:15" x14ac:dyDescent="0.35">
      <c r="A33" s="2">
        <v>1995</v>
      </c>
      <c r="B33" s="3">
        <v>150.30000000000001</v>
      </c>
      <c r="C33" s="3">
        <v>150.9</v>
      </c>
      <c r="D33" s="3">
        <v>151.4</v>
      </c>
      <c r="E33" s="3">
        <v>151.9</v>
      </c>
      <c r="F33" s="3">
        <v>152.19999999999999</v>
      </c>
      <c r="G33" s="3">
        <v>152.5</v>
      </c>
      <c r="H33" s="3">
        <v>152.5</v>
      </c>
      <c r="I33" s="3">
        <v>152.9</v>
      </c>
      <c r="J33" s="3">
        <v>153.19999999999999</v>
      </c>
      <c r="K33" s="3">
        <v>153.69999999999999</v>
      </c>
      <c r="L33" s="3">
        <v>153.6</v>
      </c>
      <c r="M33" s="3">
        <v>153.5</v>
      </c>
      <c r="N33" s="3">
        <v>151.5</v>
      </c>
      <c r="O33" s="3">
        <v>153.19999999999999</v>
      </c>
    </row>
    <row r="34" spans="1:15" x14ac:dyDescent="0.35">
      <c r="A34" s="2">
        <v>1996</v>
      </c>
      <c r="B34" s="3">
        <v>154.4</v>
      </c>
      <c r="C34" s="3">
        <v>154.9</v>
      </c>
      <c r="D34" s="3">
        <v>155.69999999999999</v>
      </c>
      <c r="E34" s="3">
        <v>156.30000000000001</v>
      </c>
      <c r="F34" s="3">
        <v>156.6</v>
      </c>
      <c r="G34" s="3">
        <v>156.69999999999999</v>
      </c>
      <c r="H34" s="3">
        <v>157</v>
      </c>
      <c r="I34" s="3">
        <v>157.30000000000001</v>
      </c>
      <c r="J34" s="3">
        <v>157.80000000000001</v>
      </c>
      <c r="K34" s="3">
        <v>158.30000000000001</v>
      </c>
      <c r="L34" s="3">
        <v>158.6</v>
      </c>
      <c r="M34" s="3">
        <v>158.6</v>
      </c>
      <c r="N34" s="3">
        <v>155.80000000000001</v>
      </c>
      <c r="O34" s="3">
        <v>157.9</v>
      </c>
    </row>
    <row r="35" spans="1:15" x14ac:dyDescent="0.35">
      <c r="A35" s="2">
        <v>1997</v>
      </c>
      <c r="B35" s="3">
        <v>159.1</v>
      </c>
      <c r="C35" s="3">
        <v>159.6</v>
      </c>
      <c r="D35" s="3">
        <v>160</v>
      </c>
      <c r="E35" s="3">
        <v>160.19999999999999</v>
      </c>
      <c r="F35" s="3">
        <v>160.1</v>
      </c>
      <c r="G35" s="3">
        <v>160.30000000000001</v>
      </c>
      <c r="H35" s="3">
        <v>160.5</v>
      </c>
      <c r="I35" s="3">
        <v>160.80000000000001</v>
      </c>
      <c r="J35" s="3">
        <v>161.19999999999999</v>
      </c>
      <c r="K35" s="3">
        <v>161.6</v>
      </c>
      <c r="L35" s="3">
        <v>161.5</v>
      </c>
      <c r="M35" s="3">
        <v>161.30000000000001</v>
      </c>
      <c r="N35" s="3">
        <v>159.9</v>
      </c>
      <c r="O35" s="3">
        <v>161.19999999999999</v>
      </c>
    </row>
    <row r="36" spans="1:15" x14ac:dyDescent="0.35">
      <c r="A36" s="2">
        <v>1998</v>
      </c>
      <c r="B36" s="3">
        <v>161.6</v>
      </c>
      <c r="C36" s="3">
        <v>161.9</v>
      </c>
      <c r="D36" s="3">
        <v>162.19999999999999</v>
      </c>
      <c r="E36" s="3">
        <v>162.5</v>
      </c>
      <c r="F36" s="3">
        <v>162.80000000000001</v>
      </c>
      <c r="G36" s="3">
        <v>163</v>
      </c>
      <c r="H36" s="3">
        <v>163.19999999999999</v>
      </c>
      <c r="I36" s="3">
        <v>163.4</v>
      </c>
      <c r="J36" s="3">
        <v>163.6</v>
      </c>
      <c r="K36" s="3">
        <v>164</v>
      </c>
      <c r="L36" s="3">
        <v>164</v>
      </c>
      <c r="M36" s="3">
        <v>163.9</v>
      </c>
      <c r="N36" s="3">
        <v>162.30000000000001</v>
      </c>
      <c r="O36" s="3">
        <v>163.69999999999999</v>
      </c>
    </row>
    <row r="37" spans="1:15" x14ac:dyDescent="0.35">
      <c r="A37" s="2">
        <v>1999</v>
      </c>
      <c r="B37" s="3">
        <v>164.3</v>
      </c>
      <c r="C37" s="3">
        <v>164.5</v>
      </c>
      <c r="D37" s="3">
        <v>165</v>
      </c>
      <c r="E37" s="3">
        <v>166.2</v>
      </c>
      <c r="F37" s="3">
        <v>166.2</v>
      </c>
      <c r="G37" s="3">
        <v>166.2</v>
      </c>
      <c r="H37" s="3">
        <v>166.7</v>
      </c>
      <c r="I37" s="3">
        <v>167.1</v>
      </c>
      <c r="J37" s="3">
        <v>167.9</v>
      </c>
      <c r="K37" s="3">
        <v>168.2</v>
      </c>
      <c r="L37" s="3">
        <v>168.3</v>
      </c>
      <c r="M37" s="3">
        <v>168.3</v>
      </c>
      <c r="N37" s="3">
        <v>165.4</v>
      </c>
      <c r="O37" s="3">
        <v>167.8</v>
      </c>
    </row>
    <row r="38" spans="1:15" x14ac:dyDescent="0.35">
      <c r="A38" s="2">
        <v>2000</v>
      </c>
      <c r="B38" s="3">
        <v>168.8</v>
      </c>
      <c r="C38" s="3">
        <v>169.8</v>
      </c>
      <c r="D38" s="3">
        <v>171.2</v>
      </c>
      <c r="E38" s="3">
        <v>171.3</v>
      </c>
      <c r="F38" s="3">
        <v>171.5</v>
      </c>
      <c r="G38" s="3">
        <v>172.4</v>
      </c>
      <c r="H38" s="3">
        <v>172.8</v>
      </c>
      <c r="I38" s="3">
        <v>172.8</v>
      </c>
      <c r="J38" s="3">
        <v>173.7</v>
      </c>
      <c r="K38" s="3">
        <v>174</v>
      </c>
      <c r="L38" s="3">
        <v>174.1</v>
      </c>
      <c r="M38" s="3">
        <v>174</v>
      </c>
      <c r="N38" s="3">
        <v>170.8</v>
      </c>
      <c r="O38" s="3">
        <v>173.6</v>
      </c>
    </row>
    <row r="39" spans="1:15" x14ac:dyDescent="0.35">
      <c r="A39" s="2">
        <v>2001</v>
      </c>
      <c r="B39" s="3">
        <v>175.1</v>
      </c>
      <c r="C39" s="3">
        <v>175.8</v>
      </c>
      <c r="D39" s="3">
        <v>176.2</v>
      </c>
      <c r="E39" s="3">
        <v>176.9</v>
      </c>
      <c r="F39" s="3">
        <v>177.7</v>
      </c>
      <c r="G39" s="3">
        <v>178</v>
      </c>
      <c r="H39" s="3">
        <v>177.5</v>
      </c>
      <c r="I39" s="3">
        <v>177.5</v>
      </c>
      <c r="J39" s="3">
        <v>178.3</v>
      </c>
      <c r="K39" s="3">
        <v>177.7</v>
      </c>
      <c r="L39" s="3">
        <v>177.4</v>
      </c>
      <c r="M39" s="3">
        <v>176.7</v>
      </c>
      <c r="N39" s="3">
        <v>176.6</v>
      </c>
      <c r="O39" s="3">
        <v>177.5</v>
      </c>
    </row>
    <row r="40" spans="1:15" x14ac:dyDescent="0.35">
      <c r="A40" s="2">
        <v>2002</v>
      </c>
      <c r="B40" s="3">
        <v>177.1</v>
      </c>
      <c r="C40" s="3">
        <v>177.8</v>
      </c>
      <c r="D40" s="3">
        <v>178.8</v>
      </c>
      <c r="E40" s="3">
        <v>179.8</v>
      </c>
      <c r="F40" s="3">
        <v>179.8</v>
      </c>
      <c r="G40" s="3">
        <v>179.9</v>
      </c>
      <c r="H40" s="3">
        <v>180.1</v>
      </c>
      <c r="I40" s="3">
        <v>180.7</v>
      </c>
      <c r="J40" s="3">
        <v>181</v>
      </c>
      <c r="K40" s="3">
        <v>181.3</v>
      </c>
      <c r="L40" s="3">
        <v>181.3</v>
      </c>
      <c r="M40" s="3">
        <v>180.9</v>
      </c>
      <c r="N40" s="3">
        <v>178.9</v>
      </c>
      <c r="O40" s="3">
        <v>180.9</v>
      </c>
    </row>
    <row r="41" spans="1:15" x14ac:dyDescent="0.35">
      <c r="A41" s="2">
        <v>2003</v>
      </c>
      <c r="B41" s="3">
        <v>181.7</v>
      </c>
      <c r="C41" s="3">
        <v>183.1</v>
      </c>
      <c r="D41" s="3">
        <v>184.2</v>
      </c>
      <c r="E41" s="3">
        <v>183.8</v>
      </c>
      <c r="F41" s="3">
        <v>183.5</v>
      </c>
      <c r="G41" s="3">
        <v>183.7</v>
      </c>
      <c r="H41" s="3">
        <v>183.9</v>
      </c>
      <c r="I41" s="3">
        <v>184.6</v>
      </c>
      <c r="J41" s="3">
        <v>185.2</v>
      </c>
      <c r="K41" s="3">
        <v>185</v>
      </c>
      <c r="L41" s="3">
        <v>184.5</v>
      </c>
      <c r="M41" s="3">
        <v>184.3</v>
      </c>
      <c r="N41" s="3">
        <v>183.3</v>
      </c>
      <c r="O41" s="3">
        <v>184.6</v>
      </c>
    </row>
    <row r="42" spans="1:15" x14ac:dyDescent="0.35">
      <c r="A42" s="2">
        <v>2004</v>
      </c>
      <c r="B42" s="3">
        <v>185.2</v>
      </c>
      <c r="C42" s="3">
        <v>186.2</v>
      </c>
      <c r="D42" s="3">
        <v>187.4</v>
      </c>
      <c r="E42" s="3">
        <v>188</v>
      </c>
      <c r="F42" s="3">
        <v>189.1</v>
      </c>
      <c r="G42" s="3">
        <v>189.7</v>
      </c>
      <c r="H42" s="3">
        <v>189.4</v>
      </c>
      <c r="I42" s="3">
        <v>189.5</v>
      </c>
      <c r="J42" s="3">
        <v>189.9</v>
      </c>
      <c r="K42" s="3">
        <v>190.9</v>
      </c>
      <c r="L42" s="3">
        <v>191</v>
      </c>
      <c r="M42" s="3">
        <v>190.3</v>
      </c>
      <c r="N42" s="3">
        <v>187.6</v>
      </c>
      <c r="O42" s="3">
        <v>190.2</v>
      </c>
    </row>
    <row r="43" spans="1:15" x14ac:dyDescent="0.35">
      <c r="A43" s="2">
        <v>2005</v>
      </c>
      <c r="B43" s="3">
        <v>190.7</v>
      </c>
      <c r="C43" s="3">
        <v>191.8</v>
      </c>
      <c r="D43" s="3">
        <v>193.3</v>
      </c>
      <c r="E43" s="3">
        <v>194.6</v>
      </c>
      <c r="F43" s="3">
        <v>194.4</v>
      </c>
      <c r="G43" s="3">
        <v>194.5</v>
      </c>
      <c r="H43" s="3">
        <v>195.4</v>
      </c>
      <c r="I43" s="3">
        <v>196.4</v>
      </c>
      <c r="J43" s="3">
        <v>198.8</v>
      </c>
      <c r="K43" s="3">
        <v>199.2</v>
      </c>
      <c r="L43" s="3">
        <v>197.6</v>
      </c>
      <c r="M43" s="3">
        <v>196.8</v>
      </c>
      <c r="N43" s="3">
        <v>193.2</v>
      </c>
      <c r="O43" s="3">
        <v>197.4</v>
      </c>
    </row>
    <row r="44" spans="1:15" x14ac:dyDescent="0.35">
      <c r="A44" s="2">
        <v>2006</v>
      </c>
      <c r="B44" s="3">
        <v>198.3</v>
      </c>
      <c r="C44" s="3">
        <v>198.7</v>
      </c>
      <c r="D44" s="3">
        <v>199.8</v>
      </c>
      <c r="E44" s="3">
        <v>201.5</v>
      </c>
      <c r="F44" s="3">
        <v>202.5</v>
      </c>
      <c r="G44" s="3">
        <v>202.9</v>
      </c>
      <c r="H44" s="3">
        <v>203.5</v>
      </c>
      <c r="I44" s="3">
        <v>203.9</v>
      </c>
      <c r="J44" s="3">
        <v>202.9</v>
      </c>
      <c r="K44" s="3">
        <v>201.8</v>
      </c>
      <c r="L44" s="3">
        <v>201.5</v>
      </c>
      <c r="M44" s="3">
        <v>201.8</v>
      </c>
      <c r="N44" s="3">
        <v>200.6</v>
      </c>
      <c r="O44" s="3">
        <v>202.6</v>
      </c>
    </row>
    <row r="45" spans="1:15" x14ac:dyDescent="0.35">
      <c r="A45" s="2">
        <v>2007</v>
      </c>
      <c r="B45" s="4">
        <v>202.416</v>
      </c>
      <c r="C45" s="4">
        <v>203.499</v>
      </c>
      <c r="D45" s="4">
        <v>205.352</v>
      </c>
      <c r="E45" s="4">
        <v>206.68600000000001</v>
      </c>
      <c r="F45" s="4">
        <v>207.94900000000001</v>
      </c>
      <c r="G45" s="4">
        <v>208.352</v>
      </c>
      <c r="H45" s="4">
        <v>208.29900000000001</v>
      </c>
      <c r="I45" s="4">
        <v>207.917</v>
      </c>
      <c r="J45" s="4">
        <v>208.49</v>
      </c>
      <c r="K45" s="4">
        <v>208.93600000000001</v>
      </c>
      <c r="L45" s="4">
        <v>210.17699999999999</v>
      </c>
      <c r="M45" s="4">
        <v>210.036</v>
      </c>
      <c r="N45" s="4">
        <v>205.709</v>
      </c>
      <c r="O45" s="4">
        <v>208.976</v>
      </c>
    </row>
    <row r="46" spans="1:15" x14ac:dyDescent="0.35">
      <c r="A46" s="2">
        <v>2008</v>
      </c>
      <c r="B46" s="4">
        <v>211.08</v>
      </c>
      <c r="C46" s="4">
        <v>211.69300000000001</v>
      </c>
      <c r="D46" s="4">
        <v>213.52799999999999</v>
      </c>
      <c r="E46" s="4">
        <v>214.82300000000001</v>
      </c>
      <c r="F46" s="4">
        <v>216.63200000000001</v>
      </c>
      <c r="G46" s="4">
        <v>218.815</v>
      </c>
      <c r="H46" s="4">
        <v>219.964</v>
      </c>
      <c r="I46" s="4">
        <v>219.08600000000001</v>
      </c>
      <c r="J46" s="4">
        <v>218.78299999999999</v>
      </c>
      <c r="K46" s="4">
        <v>216.57300000000001</v>
      </c>
      <c r="L46" s="4">
        <v>212.42500000000001</v>
      </c>
      <c r="M46" s="4">
        <v>210.22800000000001</v>
      </c>
      <c r="N46" s="4">
        <v>214.429</v>
      </c>
      <c r="O46" s="4">
        <v>216.17699999999999</v>
      </c>
    </row>
    <row r="47" spans="1:15" x14ac:dyDescent="0.35">
      <c r="A47" s="2">
        <v>2009</v>
      </c>
      <c r="B47" s="4">
        <v>211.143</v>
      </c>
      <c r="C47" s="4">
        <v>212.19300000000001</v>
      </c>
      <c r="D47" s="4">
        <v>212.709</v>
      </c>
      <c r="E47" s="4">
        <v>213.24</v>
      </c>
      <c r="F47" s="4">
        <v>213.85599999999999</v>
      </c>
      <c r="G47" s="4">
        <v>215.69300000000001</v>
      </c>
      <c r="H47" s="4">
        <v>215.351</v>
      </c>
      <c r="I47" s="4">
        <v>215.834</v>
      </c>
      <c r="J47" s="4">
        <v>215.96899999999999</v>
      </c>
      <c r="K47" s="4">
        <v>216.17699999999999</v>
      </c>
      <c r="L47" s="4">
        <v>216.33</v>
      </c>
      <c r="M47" s="4">
        <v>215.94900000000001</v>
      </c>
      <c r="N47" s="4">
        <v>213.13900000000001</v>
      </c>
      <c r="O47" s="4">
        <v>215.935</v>
      </c>
    </row>
    <row r="48" spans="1:15" x14ac:dyDescent="0.35">
      <c r="A48" s="2">
        <v>2010</v>
      </c>
      <c r="B48" s="4">
        <v>216.68700000000001</v>
      </c>
      <c r="C48" s="4">
        <v>216.74100000000001</v>
      </c>
      <c r="D48" s="4">
        <v>217.631</v>
      </c>
      <c r="E48" s="4">
        <v>218.00899999999999</v>
      </c>
      <c r="F48" s="4">
        <v>218.178</v>
      </c>
      <c r="G48" s="4">
        <v>217.965</v>
      </c>
      <c r="H48" s="4">
        <v>218.011</v>
      </c>
      <c r="I48" s="4">
        <v>218.31200000000001</v>
      </c>
      <c r="J48" s="4">
        <v>218.43899999999999</v>
      </c>
      <c r="K48" s="4">
        <v>218.71100000000001</v>
      </c>
      <c r="L48" s="4">
        <v>218.803</v>
      </c>
      <c r="M48" s="4">
        <v>219.179</v>
      </c>
      <c r="N48" s="4">
        <v>217.535</v>
      </c>
      <c r="O48" s="4">
        <v>218.57599999999999</v>
      </c>
    </row>
    <row r="49" spans="1:15" x14ac:dyDescent="0.35">
      <c r="A49" s="2">
        <v>2011</v>
      </c>
      <c r="B49" s="4">
        <v>220.22300000000001</v>
      </c>
      <c r="C49" s="4">
        <v>221.309</v>
      </c>
      <c r="D49" s="4">
        <v>223.46700000000001</v>
      </c>
      <c r="E49" s="4">
        <v>224.90600000000001</v>
      </c>
      <c r="F49" s="4">
        <v>225.964</v>
      </c>
      <c r="G49" s="4">
        <v>225.72200000000001</v>
      </c>
      <c r="H49" s="4">
        <v>225.922</v>
      </c>
      <c r="I49" s="4">
        <v>226.54499999999999</v>
      </c>
      <c r="J49" s="4">
        <v>226.88900000000001</v>
      </c>
      <c r="K49" s="4">
        <v>226.42099999999999</v>
      </c>
      <c r="L49" s="4">
        <v>226.23</v>
      </c>
      <c r="M49" s="4">
        <v>225.672</v>
      </c>
      <c r="N49" s="4">
        <v>223.59800000000001</v>
      </c>
      <c r="O49" s="4">
        <v>226.28</v>
      </c>
    </row>
    <row r="50" spans="1:15" x14ac:dyDescent="0.35">
      <c r="A50" s="2">
        <v>2012</v>
      </c>
      <c r="B50" s="4">
        <v>226.66499999999999</v>
      </c>
      <c r="C50" s="4">
        <v>227.66300000000001</v>
      </c>
      <c r="D50" s="4">
        <v>229.392</v>
      </c>
      <c r="E50" s="4">
        <v>230.08500000000001</v>
      </c>
      <c r="F50" s="4">
        <v>229.815</v>
      </c>
      <c r="G50" s="4">
        <v>229.47800000000001</v>
      </c>
      <c r="H50" s="4">
        <v>229.10400000000001</v>
      </c>
      <c r="I50" s="4">
        <v>230.37899999999999</v>
      </c>
      <c r="J50" s="4">
        <v>231.40700000000001</v>
      </c>
      <c r="K50" s="4">
        <v>231.31700000000001</v>
      </c>
      <c r="L50" s="4">
        <v>230.221</v>
      </c>
      <c r="M50" s="4">
        <v>229.601</v>
      </c>
      <c r="N50" s="4">
        <v>228.85</v>
      </c>
      <c r="O50" s="4">
        <v>230.33799999999999</v>
      </c>
    </row>
    <row r="51" spans="1:15" x14ac:dyDescent="0.35">
      <c r="A51" s="2">
        <v>2013</v>
      </c>
      <c r="B51" s="4">
        <v>230.28</v>
      </c>
      <c r="C51" s="4">
        <v>232.166</v>
      </c>
      <c r="D51" s="4">
        <v>232.773</v>
      </c>
      <c r="E51" s="4">
        <v>232.53100000000001</v>
      </c>
      <c r="F51" s="4">
        <v>232.94499999999999</v>
      </c>
      <c r="G51" s="4">
        <v>233.50399999999999</v>
      </c>
      <c r="H51" s="4">
        <v>233.596</v>
      </c>
      <c r="I51" s="4">
        <v>233.87700000000001</v>
      </c>
      <c r="J51" s="4">
        <v>234.149</v>
      </c>
      <c r="K51" s="4">
        <v>233.54599999999999</v>
      </c>
      <c r="L51" s="4">
        <v>233.06899999999999</v>
      </c>
      <c r="M51" s="4">
        <v>233.04900000000001</v>
      </c>
      <c r="N51" s="4">
        <v>232.36600000000001</v>
      </c>
      <c r="O51" s="4">
        <v>233.548</v>
      </c>
    </row>
    <row r="52" spans="1:15" x14ac:dyDescent="0.35">
      <c r="A52" s="2">
        <v>2014</v>
      </c>
      <c r="B52" s="4">
        <v>233.916</v>
      </c>
      <c r="C52" s="4">
        <v>234.78100000000001</v>
      </c>
      <c r="D52" s="4">
        <v>236.29300000000001</v>
      </c>
      <c r="E52" s="4">
        <v>237.072</v>
      </c>
      <c r="F52" s="4">
        <v>237.9</v>
      </c>
      <c r="G52" s="4">
        <v>238.34299999999999</v>
      </c>
      <c r="H52" s="4">
        <v>238.25</v>
      </c>
      <c r="I52" s="4">
        <v>237.852</v>
      </c>
      <c r="J52" s="4">
        <v>238.03100000000001</v>
      </c>
      <c r="K52" s="4">
        <v>237.43299999999999</v>
      </c>
      <c r="L52" s="4">
        <v>236.15100000000001</v>
      </c>
      <c r="M52" s="4">
        <v>234.81200000000001</v>
      </c>
      <c r="N52" s="4">
        <v>236.38399999999999</v>
      </c>
      <c r="O52" s="4">
        <v>237.08799999999999</v>
      </c>
    </row>
    <row r="53" spans="1:15" x14ac:dyDescent="0.35">
      <c r="A53" s="2">
        <v>2015</v>
      </c>
      <c r="B53" s="4">
        <v>233.70699999999999</v>
      </c>
      <c r="C53" s="4">
        <v>234.72200000000001</v>
      </c>
      <c r="D53" s="4">
        <v>236.119</v>
      </c>
      <c r="E53" s="4">
        <v>236.59899999999999</v>
      </c>
      <c r="F53" s="4">
        <v>237.80500000000001</v>
      </c>
      <c r="G53" s="4">
        <v>238.63800000000001</v>
      </c>
      <c r="H53" s="4">
        <v>238.654</v>
      </c>
      <c r="I53" s="4">
        <v>238.316</v>
      </c>
      <c r="J53" s="4">
        <v>237.94499999999999</v>
      </c>
      <c r="K53" s="4">
        <v>237.83799999999999</v>
      </c>
      <c r="L53" s="4">
        <v>237.33600000000001</v>
      </c>
      <c r="M53" s="4">
        <v>236.52500000000001</v>
      </c>
      <c r="N53" s="4">
        <v>236.26499999999999</v>
      </c>
      <c r="O53" s="4">
        <v>237.76900000000001</v>
      </c>
    </row>
    <row r="54" spans="1:15" x14ac:dyDescent="0.35">
      <c r="A54" s="2">
        <v>2016</v>
      </c>
      <c r="B54" s="4">
        <v>236.916</v>
      </c>
      <c r="C54" s="4">
        <v>237.11099999999999</v>
      </c>
      <c r="D54" s="4">
        <v>238.13200000000001</v>
      </c>
      <c r="E54" s="4">
        <v>239.261</v>
      </c>
      <c r="F54" s="4">
        <v>240.22900000000001</v>
      </c>
      <c r="G54" s="4">
        <v>241.018</v>
      </c>
      <c r="H54" s="4">
        <v>240.62799999999999</v>
      </c>
      <c r="I54" s="4">
        <v>240.84899999999999</v>
      </c>
      <c r="J54" s="4">
        <v>241.428</v>
      </c>
      <c r="K54" s="4">
        <v>241.72900000000001</v>
      </c>
      <c r="L54" s="4">
        <v>241.35300000000001</v>
      </c>
      <c r="M54" s="4">
        <v>241.43199999999999</v>
      </c>
      <c r="N54" s="4">
        <v>238.77799999999999</v>
      </c>
      <c r="O54" s="4">
        <v>241.23699999999999</v>
      </c>
    </row>
    <row r="55" spans="1:15" x14ac:dyDescent="0.35">
      <c r="A55" s="2">
        <v>2017</v>
      </c>
      <c r="B55" s="4">
        <v>242.839</v>
      </c>
      <c r="C55" s="4">
        <v>243.60300000000001</v>
      </c>
      <c r="D55" s="4">
        <v>243.80099999999999</v>
      </c>
      <c r="E55" s="4">
        <v>244.524</v>
      </c>
      <c r="F55" s="4">
        <v>244.733</v>
      </c>
      <c r="G55" s="4">
        <v>244.95500000000001</v>
      </c>
      <c r="H55" s="4">
        <v>244.786</v>
      </c>
      <c r="I55" s="4">
        <v>245.51900000000001</v>
      </c>
      <c r="J55" s="4">
        <v>246.81899999999999</v>
      </c>
      <c r="K55" s="4">
        <v>246.66300000000001</v>
      </c>
      <c r="L55" s="4">
        <v>246.66900000000001</v>
      </c>
      <c r="M55" s="4">
        <v>246.524</v>
      </c>
      <c r="N55" s="4">
        <v>244.07599999999999</v>
      </c>
      <c r="O55" s="4">
        <v>246.16300000000001</v>
      </c>
    </row>
    <row r="56" spans="1:15" x14ac:dyDescent="0.35">
      <c r="A56" s="2">
        <v>2018</v>
      </c>
      <c r="B56" s="4">
        <v>247.86699999999999</v>
      </c>
      <c r="C56" s="4">
        <v>248.99100000000001</v>
      </c>
      <c r="D56" s="4">
        <v>249.554</v>
      </c>
      <c r="E56" s="4">
        <v>250.54599999999999</v>
      </c>
      <c r="F56" s="4">
        <v>251.58799999999999</v>
      </c>
      <c r="G56" s="4">
        <v>251.989</v>
      </c>
      <c r="H56" s="4">
        <v>252.006</v>
      </c>
      <c r="I56" s="4">
        <v>252.14599999999999</v>
      </c>
      <c r="J56" s="4">
        <v>252.43899999999999</v>
      </c>
      <c r="K56" s="4">
        <v>252.88499999999999</v>
      </c>
      <c r="L56" s="4">
        <v>252.03800000000001</v>
      </c>
      <c r="M56" s="4">
        <v>251.233</v>
      </c>
      <c r="N56" s="4">
        <v>250.089</v>
      </c>
      <c r="O56" s="4">
        <v>252.125</v>
      </c>
    </row>
    <row r="57" spans="1:15" x14ac:dyDescent="0.35">
      <c r="A57" s="2">
        <v>2019</v>
      </c>
      <c r="B57" s="4">
        <v>251.71199999999999</v>
      </c>
      <c r="C57" s="4">
        <v>252.77600000000001</v>
      </c>
      <c r="D57" s="4">
        <v>254.202</v>
      </c>
      <c r="E57" s="4">
        <v>255.548</v>
      </c>
      <c r="F57" s="4">
        <v>256.09199999999998</v>
      </c>
      <c r="G57" s="4">
        <v>256.14299999999997</v>
      </c>
      <c r="H57" s="4">
        <v>256.57100000000003</v>
      </c>
      <c r="I57" s="4">
        <v>256.55799999999999</v>
      </c>
      <c r="J57" s="4">
        <v>256.75900000000001</v>
      </c>
      <c r="K57" s="4">
        <v>257.346</v>
      </c>
      <c r="L57" s="4">
        <v>257.20800000000003</v>
      </c>
      <c r="M57" s="4">
        <v>256.97399999999999</v>
      </c>
      <c r="N57" s="4">
        <v>254.41200000000001</v>
      </c>
      <c r="O57" s="4">
        <v>256.90300000000002</v>
      </c>
    </row>
    <row r="58" spans="1:15" x14ac:dyDescent="0.35">
      <c r="A58" s="2">
        <v>2020</v>
      </c>
      <c r="B58" s="4">
        <v>257.971</v>
      </c>
      <c r="C58" s="4">
        <v>258.678</v>
      </c>
      <c r="D58" s="4">
        <v>258.11500000000001</v>
      </c>
      <c r="E58" s="4">
        <v>256.38900000000001</v>
      </c>
      <c r="F58" s="4">
        <v>256.39400000000001</v>
      </c>
      <c r="G58" s="4">
        <v>257.79700000000003</v>
      </c>
      <c r="H58" s="4">
        <v>259.101</v>
      </c>
      <c r="I58" s="4">
        <v>259.91800000000001</v>
      </c>
      <c r="J58" s="4">
        <v>260.27999999999997</v>
      </c>
      <c r="K58" s="4">
        <v>260.38799999999998</v>
      </c>
      <c r="L58" s="4">
        <v>260.22899999999998</v>
      </c>
      <c r="M58" s="4">
        <v>260.47399999999999</v>
      </c>
      <c r="N58" s="4">
        <v>257.55700000000002</v>
      </c>
      <c r="O58" s="4">
        <v>260.065</v>
      </c>
    </row>
    <row r="59" spans="1:15" x14ac:dyDescent="0.35">
      <c r="A59" s="2">
        <v>2021</v>
      </c>
      <c r="B59" s="4">
        <v>261.58199999999999</v>
      </c>
      <c r="C59" s="4">
        <v>263.01400000000001</v>
      </c>
      <c r="D59" s="4">
        <v>264.87700000000001</v>
      </c>
      <c r="E59" s="4">
        <v>267.05399999999997</v>
      </c>
      <c r="F59" s="4">
        <v>269.19499999999999</v>
      </c>
      <c r="G59" s="4">
        <v>271.69600000000003</v>
      </c>
      <c r="H59" s="4">
        <v>273.00299999999999</v>
      </c>
      <c r="I59" s="4">
        <v>273.56700000000001</v>
      </c>
      <c r="J59" s="4">
        <v>274.31</v>
      </c>
      <c r="K59" s="4">
        <v>276.589</v>
      </c>
      <c r="L59" s="4">
        <v>277.94799999999998</v>
      </c>
      <c r="M59" s="4">
        <v>278.80200000000002</v>
      </c>
      <c r="N59" s="4">
        <v>266.23599999999999</v>
      </c>
      <c r="O59" s="4">
        <v>275.70299999999997</v>
      </c>
    </row>
    <row r="60" spans="1:15" x14ac:dyDescent="0.35">
      <c r="A60" s="2">
        <v>2022</v>
      </c>
      <c r="B60" s="4">
        <v>281.14800000000002</v>
      </c>
      <c r="C60" s="4">
        <v>283.71600000000001</v>
      </c>
      <c r="D60" s="4">
        <v>287.50400000000002</v>
      </c>
      <c r="E60" s="4">
        <v>289.10899999999998</v>
      </c>
      <c r="F60" s="4">
        <v>292.29599999999999</v>
      </c>
      <c r="G60" s="4">
        <v>296.31099999999998</v>
      </c>
      <c r="H60" s="4">
        <v>296.27600000000001</v>
      </c>
      <c r="I60" s="4">
        <v>296.17099999999999</v>
      </c>
      <c r="J60" s="4">
        <v>296.80799999999999</v>
      </c>
      <c r="K60" s="4">
        <v>298.012</v>
      </c>
      <c r="L60" s="4">
        <v>297.71100000000001</v>
      </c>
      <c r="M60" s="4">
        <v>296.79700000000003</v>
      </c>
      <c r="N60" s="4">
        <v>288.34699999999998</v>
      </c>
      <c r="O60" s="4">
        <v>296.96300000000002</v>
      </c>
    </row>
    <row r="61" spans="1:15" x14ac:dyDescent="0.35">
      <c r="A61" s="2">
        <v>2023</v>
      </c>
      <c r="B61" s="4">
        <v>299.17</v>
      </c>
      <c r="C61" s="4">
        <v>300.83999999999997</v>
      </c>
      <c r="D61" s="4">
        <v>301.83600000000001</v>
      </c>
      <c r="E61" s="4">
        <v>303.363</v>
      </c>
      <c r="F61" s="4">
        <v>304.12700000000001</v>
      </c>
      <c r="G61" s="4">
        <v>305.10899999999998</v>
      </c>
      <c r="H61" s="4">
        <v>305.69099999999997</v>
      </c>
      <c r="I61" s="4">
        <v>307.02600000000001</v>
      </c>
      <c r="J61" s="4">
        <v>307.78899999999999</v>
      </c>
      <c r="K61" s="4">
        <v>307.67099999999999</v>
      </c>
      <c r="L61" s="4">
        <v>307.05099999999999</v>
      </c>
      <c r="M61" s="4">
        <v>306.74599999999998</v>
      </c>
      <c r="N61" s="4">
        <v>302.40800000000002</v>
      </c>
      <c r="O61" s="4">
        <v>306.99599999999998</v>
      </c>
    </row>
    <row r="62" spans="1:15" x14ac:dyDescent="0.35">
      <c r="A62" s="2">
        <v>2024</v>
      </c>
      <c r="B62" s="4">
        <v>308.41699999999997</v>
      </c>
      <c r="C62" s="4">
        <v>310.32600000000002</v>
      </c>
      <c r="D62" s="4">
        <v>312.33199999999999</v>
      </c>
      <c r="E62" s="4">
        <v>313.548</v>
      </c>
      <c r="F62" s="4">
        <v>314.06900000000002</v>
      </c>
      <c r="G62" s="4">
        <v>314.17500000000001</v>
      </c>
      <c r="H62" s="4">
        <v>314.54000000000002</v>
      </c>
      <c r="I62" s="4">
        <v>314.79599999999999</v>
      </c>
      <c r="J62" s="4">
        <v>315.30099999999999</v>
      </c>
      <c r="K62" s="4">
        <v>315.66399999999999</v>
      </c>
      <c r="L62" s="4">
        <v>315.49299999999999</v>
      </c>
      <c r="M62" s="4">
        <v>315.60500000000002</v>
      </c>
      <c r="N62" s="4">
        <v>312.14499999999998</v>
      </c>
      <c r="O62" s="4">
        <v>315.233</v>
      </c>
    </row>
    <row r="63" spans="1:15" x14ac:dyDescent="0.35">
      <c r="A63" s="2">
        <v>2025</v>
      </c>
      <c r="B63" s="4">
        <v>317.67099999999999</v>
      </c>
      <c r="C63" s="4">
        <v>319.08199999999999</v>
      </c>
      <c r="D63" s="4">
        <v>319.79899999999998</v>
      </c>
      <c r="E63" s="4">
        <v>320.79500000000002</v>
      </c>
      <c r="F63" s="4">
        <v>321.46499999999997</v>
      </c>
      <c r="G63" s="4">
        <v>322.56099999999998</v>
      </c>
      <c r="H63" s="4">
        <v>323.048</v>
      </c>
      <c r="I63" s="4">
        <v>323.976</v>
      </c>
      <c r="N63" s="4">
        <v>320.22899999999998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October 17, 2025 (06:10:18 PM)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7547-88F2-4C39-A335-3425A8834F39}">
  <dimension ref="A1:E52"/>
  <sheetViews>
    <sheetView tabSelected="1" workbookViewId="0">
      <selection activeCell="E6" sqref="E6"/>
    </sheetView>
  </sheetViews>
  <sheetFormatPr defaultRowHeight="14.5" x14ac:dyDescent="0.35"/>
  <cols>
    <col min="1" max="1" width="24.54296875" customWidth="1"/>
    <col min="2" max="2" width="15.6328125" customWidth="1"/>
    <col min="3" max="3" width="16" customWidth="1"/>
    <col min="4" max="4" width="14.6328125" customWidth="1"/>
    <col min="5" max="5" width="21.54296875" customWidth="1"/>
  </cols>
  <sheetData>
    <row r="1" spans="1:5" ht="16" x14ac:dyDescent="0.35">
      <c r="A1" s="11" t="s">
        <v>15</v>
      </c>
      <c r="B1" s="11" t="s">
        <v>30</v>
      </c>
      <c r="C1" s="11" t="s">
        <v>31</v>
      </c>
      <c r="D1" s="12" t="s">
        <v>32</v>
      </c>
      <c r="E1" s="13" t="s">
        <v>33</v>
      </c>
    </row>
    <row r="2" spans="1:5" x14ac:dyDescent="0.35">
      <c r="A2" s="2">
        <v>1975</v>
      </c>
      <c r="B2">
        <f>AVERAGE(DataSheet!B13:M13)</f>
        <v>53.81666666666667</v>
      </c>
      <c r="C2">
        <f>MEDIAN(DataSheet!B13:M13)</f>
        <v>53.900000000000006</v>
      </c>
      <c r="D2" t="e">
        <f>MODE(DataSheet!B13:M13)</f>
        <v>#N/A</v>
      </c>
      <c r="E2">
        <f>STDEVA(DataSheet!B13:M13)</f>
        <v>1.1440226740707009</v>
      </c>
    </row>
    <row r="3" spans="1:5" x14ac:dyDescent="0.35">
      <c r="A3" s="2">
        <v>1976</v>
      </c>
      <c r="B3">
        <f>AVERAGE(DataSheet!B14:M14)</f>
        <v>56.908333333333339</v>
      </c>
      <c r="C3">
        <f>MEDIAN(DataSheet!B14:M14)</f>
        <v>56.95</v>
      </c>
      <c r="D3" t="e">
        <f>MODE(DataSheet!B14:M14)</f>
        <v>#N/A</v>
      </c>
      <c r="E3">
        <f>STDEVA(DataSheet!B14:M14)</f>
        <v>0.9238834374858157</v>
      </c>
    </row>
    <row r="4" spans="1:5" x14ac:dyDescent="0.35">
      <c r="A4" s="2">
        <v>1977</v>
      </c>
      <c r="B4">
        <f>AVERAGE(DataSheet!B15:M15)</f>
        <v>60.608333333333327</v>
      </c>
      <c r="C4">
        <f>MEDIAN(DataSheet!B15:M15)</f>
        <v>60.85</v>
      </c>
      <c r="D4" t="e">
        <f>MODE(DataSheet!B15:M15)</f>
        <v>#N/A</v>
      </c>
      <c r="E4">
        <f>STDEVA(DataSheet!B15:M15)</f>
        <v>1.1453132428477479</v>
      </c>
    </row>
    <row r="5" spans="1:5" x14ac:dyDescent="0.35">
      <c r="A5" s="2">
        <v>1978</v>
      </c>
      <c r="B5">
        <f>AVERAGE(DataSheet!B16:M16)</f>
        <v>65.233333333333334</v>
      </c>
      <c r="C5">
        <f>MEDIAN(DataSheet!B16:M16)</f>
        <v>65.45</v>
      </c>
      <c r="D5" t="e">
        <f>MODE(DataSheet!B16:M16)</f>
        <v>#N/A</v>
      </c>
      <c r="E5">
        <f>STDEVA(DataSheet!B16:M16)</f>
        <v>1.790547571571504</v>
      </c>
    </row>
    <row r="6" spans="1:5" x14ac:dyDescent="0.35">
      <c r="A6" s="2">
        <v>1979</v>
      </c>
      <c r="B6">
        <f>AVERAGE(DataSheet!B17:M17)</f>
        <v>72.575000000000003</v>
      </c>
      <c r="C6">
        <f>MEDIAN(DataSheet!B17:M17)</f>
        <v>72.699999999999989</v>
      </c>
      <c r="D6" t="e">
        <f>MODE(DataSheet!B17:M17)</f>
        <v>#N/A</v>
      </c>
      <c r="E6">
        <f>STDEVA(DataSheet!B17:M17)</f>
        <v>2.7637671918794289</v>
      </c>
    </row>
    <row r="7" spans="1:5" x14ac:dyDescent="0.35">
      <c r="A7" s="2">
        <v>1980</v>
      </c>
      <c r="B7">
        <f>AVERAGE(DataSheet!B18:M18)</f>
        <v>82.408333333333317</v>
      </c>
      <c r="C7">
        <f>MEDIAN(DataSheet!B18:M18)</f>
        <v>82.7</v>
      </c>
      <c r="D7">
        <f>MODE(DataSheet!B18:M18, 12)</f>
        <v>82.7</v>
      </c>
      <c r="E7">
        <f>STDEVA(DataSheet!B18:M18)</f>
        <v>2.6137602078695785</v>
      </c>
    </row>
    <row r="8" spans="1:5" x14ac:dyDescent="0.35">
      <c r="A8" s="2">
        <v>1981</v>
      </c>
      <c r="B8">
        <f>AVERAGE(DataSheet!B19:M19)</f>
        <v>90.924999999999997</v>
      </c>
      <c r="C8">
        <f>MEDIAN(DataSheet!B19:M19)</f>
        <v>91.1</v>
      </c>
      <c r="D8" t="e">
        <f>MODE(DataSheet!B19:M19)</f>
        <v>#N/A</v>
      </c>
      <c r="E8">
        <f>STDEVA(DataSheet!B19:M19)</f>
        <v>2.4484224977059679</v>
      </c>
    </row>
    <row r="9" spans="1:5" x14ac:dyDescent="0.35">
      <c r="A9" s="2">
        <v>1982</v>
      </c>
      <c r="B9">
        <f>AVERAGE(DataSheet!B20:M20)</f>
        <v>96.5</v>
      </c>
      <c r="C9">
        <f>MEDIAN(DataSheet!B20:M20)</f>
        <v>97.25</v>
      </c>
      <c r="D9" t="e">
        <f>MODE(DataSheet!B20:M20)</f>
        <v>#N/A</v>
      </c>
      <c r="E9">
        <f>STDEVA(DataSheet!B20:M20)</f>
        <v>1.5521246435421716</v>
      </c>
    </row>
    <row r="10" spans="1:5" x14ac:dyDescent="0.35">
      <c r="A10" s="2">
        <v>1983</v>
      </c>
      <c r="B10">
        <f>AVERAGE(DataSheet!B21:M21)</f>
        <v>99.600000000000009</v>
      </c>
      <c r="C10">
        <f>MEDIAN(DataSheet!B21:M21)</f>
        <v>99.7</v>
      </c>
      <c r="D10">
        <f>MODE(DataSheet!B21:M21)</f>
        <v>97.9</v>
      </c>
      <c r="E10">
        <f>STDEVA(DataSheet!B21:M21)</f>
        <v>1.3232192149863491</v>
      </c>
    </row>
    <row r="11" spans="1:5" x14ac:dyDescent="0.35">
      <c r="A11" s="2">
        <v>1984</v>
      </c>
      <c r="B11">
        <f>AVERAGE(DataSheet!B22:M22)</f>
        <v>103.88333333333333</v>
      </c>
      <c r="C11">
        <f>MEDIAN(DataSheet!B22:M22)</f>
        <v>103.9</v>
      </c>
      <c r="D11">
        <f>MODE(DataSheet!B22:M22)</f>
        <v>105.3</v>
      </c>
      <c r="E11">
        <f>STDEVA(DataSheet!B22:M22)</f>
        <v>1.2194136693385442</v>
      </c>
    </row>
    <row r="12" spans="1:5" x14ac:dyDescent="0.35">
      <c r="A12" s="2">
        <v>1985</v>
      </c>
      <c r="B12">
        <f>AVERAGE(DataSheet!B23:M23)</f>
        <v>107.56666666666665</v>
      </c>
      <c r="C12">
        <f>MEDIAN(DataSheet!B23:M23)</f>
        <v>107.69999999999999</v>
      </c>
      <c r="D12" t="e">
        <f>MODE(DataSheet!B23:M23)</f>
        <v>#N/A</v>
      </c>
      <c r="E12">
        <f>STDEVA(DataSheet!B23:M23)</f>
        <v>1.195699364262174</v>
      </c>
    </row>
    <row r="13" spans="1:5" x14ac:dyDescent="0.35">
      <c r="A13" s="2">
        <v>1986</v>
      </c>
      <c r="B13">
        <f>AVERAGE(DataSheet!B24:M24)</f>
        <v>109.60833333333335</v>
      </c>
      <c r="C13">
        <f>MEDIAN(DataSheet!B24:M24)</f>
        <v>109.55</v>
      </c>
      <c r="D13">
        <f>MODE(DataSheet!B24:M24)</f>
        <v>109.5</v>
      </c>
      <c r="E13">
        <f>STDEVA(DataSheet!B24:M24)</f>
        <v>0.64308677957225002</v>
      </c>
    </row>
    <row r="14" spans="1:5" x14ac:dyDescent="0.35">
      <c r="A14" s="2">
        <v>1987</v>
      </c>
      <c r="B14">
        <f>AVERAGE(DataSheet!B25:M25)</f>
        <v>113.625</v>
      </c>
      <c r="C14">
        <f>MEDIAN(DataSheet!B25:M25)</f>
        <v>113.65</v>
      </c>
      <c r="D14">
        <f>MODE(DataSheet!B25:M25)</f>
        <v>115.4</v>
      </c>
      <c r="E14">
        <f>STDEVA(DataSheet!B25:M25)</f>
        <v>1.5100421426990964</v>
      </c>
    </row>
    <row r="15" spans="1:5" x14ac:dyDescent="0.35">
      <c r="A15" s="2">
        <v>1988</v>
      </c>
      <c r="B15">
        <f>AVERAGE(DataSheet!B26:M26)</f>
        <v>118.25833333333333</v>
      </c>
      <c r="C15">
        <f>MEDIAN(DataSheet!B26:M26)</f>
        <v>118.25</v>
      </c>
      <c r="D15" t="e">
        <f>MODE(DataSheet!B26:M26)</f>
        <v>#N/A</v>
      </c>
      <c r="E15">
        <f>STDEVA(DataSheet!B26:M26)</f>
        <v>1.7233468143192308</v>
      </c>
    </row>
    <row r="16" spans="1:5" x14ac:dyDescent="0.35">
      <c r="A16" s="2">
        <v>1989</v>
      </c>
      <c r="B16">
        <f>AVERAGE(DataSheet!B27:M27)</f>
        <v>123.96666666666665</v>
      </c>
      <c r="C16">
        <f>MEDIAN(DataSheet!B27:M27)</f>
        <v>124.25</v>
      </c>
      <c r="D16" t="e">
        <f>MODE(DataSheet!B27:M27)</f>
        <v>#N/A</v>
      </c>
      <c r="E16">
        <f>STDEVA(DataSheet!B27:M27)</f>
        <v>1.6516291314574205</v>
      </c>
    </row>
    <row r="17" spans="1:5" x14ac:dyDescent="0.35">
      <c r="A17" s="2">
        <v>1990</v>
      </c>
      <c r="B17">
        <f>AVERAGE(DataSheet!B28:M28)</f>
        <v>130.65833333333333</v>
      </c>
      <c r="C17">
        <f>MEDIAN(DataSheet!B28:M28)</f>
        <v>130.15</v>
      </c>
      <c r="D17">
        <f>MODE(DataSheet!B28:M28)</f>
        <v>133.80000000000001</v>
      </c>
      <c r="E17">
        <f>STDEVA(DataSheet!B28:M28)</f>
        <v>2.3403412079645523</v>
      </c>
    </row>
    <row r="18" spans="1:5" x14ac:dyDescent="0.35">
      <c r="A18" s="2">
        <v>1991</v>
      </c>
      <c r="B18">
        <f>AVERAGE(DataSheet!B29:M29)</f>
        <v>136.19166666666666</v>
      </c>
      <c r="C18">
        <f>MEDIAN(DataSheet!B29:M29)</f>
        <v>136.1</v>
      </c>
      <c r="D18" t="e">
        <f>MODE(DataSheet!B29:M29)</f>
        <v>#N/A</v>
      </c>
      <c r="E18">
        <f>STDEVA(DataSheet!B29:M29)</f>
        <v>1.183568051838735</v>
      </c>
    </row>
    <row r="19" spans="1:5" x14ac:dyDescent="0.35">
      <c r="A19" s="2">
        <v>1992</v>
      </c>
      <c r="B19">
        <f>AVERAGE(DataSheet!B30:M30)</f>
        <v>140.31666666666669</v>
      </c>
      <c r="C19">
        <f>MEDIAN(DataSheet!B30:M30)</f>
        <v>140.35</v>
      </c>
      <c r="D19" t="e">
        <f>MODE(DataSheet!B30:M30)</f>
        <v>#N/A</v>
      </c>
      <c r="E19">
        <f>STDEVA(DataSheet!B30:M30)</f>
        <v>1.3085962870283001</v>
      </c>
    </row>
    <row r="20" spans="1:5" x14ac:dyDescent="0.35">
      <c r="A20" s="2">
        <v>1993</v>
      </c>
      <c r="B20">
        <f>AVERAGE(DataSheet!B31:M31)</f>
        <v>144.45833333333331</v>
      </c>
      <c r="C20">
        <f>MEDIAN(DataSheet!B31:M31)</f>
        <v>144.4</v>
      </c>
      <c r="D20">
        <f>MODE(DataSheet!B31:M31)</f>
        <v>144.4</v>
      </c>
      <c r="E20">
        <f>STDEVA(DataSheet!B31:M31)</f>
        <v>1.0439943689619451</v>
      </c>
    </row>
    <row r="21" spans="1:5" x14ac:dyDescent="0.35">
      <c r="A21" s="2">
        <v>1994</v>
      </c>
      <c r="B21">
        <f>AVERAGE(DataSheet!B32:M32)</f>
        <v>148.22500000000002</v>
      </c>
      <c r="C21">
        <f>MEDIAN(DataSheet!B32:M32)</f>
        <v>148.19999999999999</v>
      </c>
      <c r="D21">
        <f>MODE(DataSheet!B32:M32)</f>
        <v>149.69999999999999</v>
      </c>
      <c r="E21">
        <f>STDEVA(DataSheet!B32:M32)</f>
        <v>1.2329749684106635</v>
      </c>
    </row>
    <row r="22" spans="1:5" x14ac:dyDescent="0.35">
      <c r="A22" s="2">
        <v>1995</v>
      </c>
      <c r="B22">
        <f>AVERAGE(DataSheet!B33:M33)</f>
        <v>152.38333333333335</v>
      </c>
      <c r="C22">
        <f>MEDIAN(DataSheet!B33:M33)</f>
        <v>152.5</v>
      </c>
      <c r="D22">
        <f>MODE(DataSheet!B33:M33)</f>
        <v>152.5</v>
      </c>
      <c r="E22">
        <f>STDEVA(DataSheet!B33:M33)</f>
        <v>1.0953067925001458</v>
      </c>
    </row>
    <row r="23" spans="1:5" x14ac:dyDescent="0.35">
      <c r="A23" s="2">
        <v>1996</v>
      </c>
      <c r="B23">
        <f>AVERAGE(DataSheet!B34:M34)</f>
        <v>156.84999999999997</v>
      </c>
      <c r="C23">
        <f>MEDIAN(DataSheet!B34:M34)</f>
        <v>156.85</v>
      </c>
      <c r="D23">
        <f>MODE(DataSheet!B34:M34)</f>
        <v>158.6</v>
      </c>
      <c r="E23">
        <f>STDEVA(DataSheet!B34:M34)</f>
        <v>1.3774152341515347</v>
      </c>
    </row>
    <row r="24" spans="1:5" x14ac:dyDescent="0.35">
      <c r="A24" s="2">
        <v>1997</v>
      </c>
      <c r="B24">
        <f>AVERAGE(DataSheet!B35:M35)</f>
        <v>160.51666666666665</v>
      </c>
      <c r="C24">
        <f>MEDIAN(DataSheet!B35:M35)</f>
        <v>160.4</v>
      </c>
      <c r="D24" t="e">
        <f>MODE(DataSheet!B35:M35)</f>
        <v>#N/A</v>
      </c>
      <c r="E24">
        <f>STDEVA(DataSheet!B35:M35)</f>
        <v>0.78257539088847217</v>
      </c>
    </row>
    <row r="25" spans="1:5" x14ac:dyDescent="0.35">
      <c r="A25" s="2">
        <v>1998</v>
      </c>
      <c r="B25">
        <f>AVERAGE(DataSheet!B36:M36)</f>
        <v>163.00833333333335</v>
      </c>
      <c r="C25">
        <f>MEDIAN(DataSheet!B36:M36)</f>
        <v>163.1</v>
      </c>
      <c r="D25">
        <f>MODE(DataSheet!B36:M36)</f>
        <v>164</v>
      </c>
      <c r="E25">
        <f>STDEVA(DataSheet!B36:M36)</f>
        <v>0.82402375664488781</v>
      </c>
    </row>
    <row r="26" spans="1:5" x14ac:dyDescent="0.35">
      <c r="A26" s="2">
        <v>1999</v>
      </c>
      <c r="B26">
        <f>AVERAGE(DataSheet!B37:M37)</f>
        <v>166.57500000000002</v>
      </c>
      <c r="C26">
        <f>MEDIAN(DataSheet!B37:M37)</f>
        <v>166.45</v>
      </c>
      <c r="D26">
        <f>MODE(DataSheet!B37:M37)</f>
        <v>166.2</v>
      </c>
      <c r="E26">
        <f>STDEVA(DataSheet!B37:M37)</f>
        <v>1.446704719510705</v>
      </c>
    </row>
    <row r="27" spans="1:5" x14ac:dyDescent="0.35">
      <c r="A27" s="2">
        <v>2000</v>
      </c>
      <c r="B27">
        <f>AVERAGE(DataSheet!B38:M38)</f>
        <v>172.19999999999996</v>
      </c>
      <c r="C27">
        <f>MEDIAN(DataSheet!B38:M38)</f>
        <v>172.60000000000002</v>
      </c>
      <c r="D27">
        <f>MODE(DataSheet!B38:M38)</f>
        <v>172.8</v>
      </c>
      <c r="E27">
        <f>STDEVA(DataSheet!B38:M38)</f>
        <v>1.7246870598880948</v>
      </c>
    </row>
    <row r="28" spans="1:5" x14ac:dyDescent="0.35">
      <c r="A28" s="2">
        <v>2001</v>
      </c>
      <c r="B28">
        <f>AVERAGE(DataSheet!B39:M39)</f>
        <v>177.06666666666663</v>
      </c>
      <c r="C28">
        <f>MEDIAN(DataSheet!B39:M39)</f>
        <v>177.45</v>
      </c>
      <c r="D28">
        <f>MODE(DataSheet!B39:M39)</f>
        <v>177.7</v>
      </c>
      <c r="E28">
        <f>STDEVA(DataSheet!B39:M39)</f>
        <v>0.95663551844551398</v>
      </c>
    </row>
    <row r="29" spans="1:5" x14ac:dyDescent="0.35">
      <c r="A29" s="2">
        <v>2002</v>
      </c>
      <c r="B29">
        <f>AVERAGE(DataSheet!B40:M40)</f>
        <v>179.875</v>
      </c>
      <c r="C29">
        <f>MEDIAN(DataSheet!B40:M40)</f>
        <v>180</v>
      </c>
      <c r="D29">
        <f>MODE(DataSheet!B40:M40)</f>
        <v>179.8</v>
      </c>
      <c r="E29">
        <f>STDEVA(DataSheet!B40:M40)</f>
        <v>1.3578894050561103</v>
      </c>
    </row>
    <row r="30" spans="1:5" x14ac:dyDescent="0.35">
      <c r="A30" s="2">
        <v>2003</v>
      </c>
      <c r="B30">
        <f>AVERAGE(DataSheet!B41:M41)</f>
        <v>183.95833333333334</v>
      </c>
      <c r="C30">
        <f>MEDIAN(DataSheet!B41:M41)</f>
        <v>184.05</v>
      </c>
      <c r="D30" t="e">
        <f>MODE(DataSheet!B41:M41)</f>
        <v>#N/A</v>
      </c>
      <c r="E30">
        <f>STDEVA(DataSheet!B41:M41)</f>
        <v>0.93658794018339386</v>
      </c>
    </row>
    <row r="31" spans="1:5" x14ac:dyDescent="0.35">
      <c r="A31" s="2">
        <v>2004</v>
      </c>
      <c r="B31">
        <f>AVERAGE(DataSheet!B42:M42)</f>
        <v>188.88333333333335</v>
      </c>
      <c r="C31">
        <f>MEDIAN(DataSheet!B42:M42)</f>
        <v>189.45</v>
      </c>
      <c r="D31" t="e">
        <f>MODE(DataSheet!B42:M42)</f>
        <v>#N/A</v>
      </c>
      <c r="E31">
        <f>STDEVA(DataSheet!B42:M42)</f>
        <v>1.8264886000357685</v>
      </c>
    </row>
    <row r="32" spans="1:5" x14ac:dyDescent="0.35">
      <c r="A32" s="2">
        <v>2005</v>
      </c>
      <c r="B32">
        <f>AVERAGE(DataSheet!B43:M43)</f>
        <v>195.29166666666671</v>
      </c>
      <c r="C32">
        <f>MEDIAN(DataSheet!B43:M43)</f>
        <v>195</v>
      </c>
      <c r="D32" t="e">
        <f>MODE(DataSheet!B43:M43)</f>
        <v>#N/A</v>
      </c>
      <c r="E32">
        <f>STDEVA(DataSheet!B43:M43)</f>
        <v>2.6210540327174185</v>
      </c>
    </row>
    <row r="33" spans="1:5" x14ac:dyDescent="0.35">
      <c r="A33" s="2">
        <v>2006</v>
      </c>
      <c r="B33">
        <f>AVERAGE(DataSheet!B44:M44)</f>
        <v>201.5916666666667</v>
      </c>
      <c r="C33">
        <f>MEDIAN(DataSheet!B44:M44)</f>
        <v>201.8</v>
      </c>
      <c r="D33">
        <f>MODE(DataSheet!B44:M44)</f>
        <v>201.5</v>
      </c>
      <c r="E33">
        <f>STDEVA(DataSheet!B44:M44)</f>
        <v>1.8022502769055306</v>
      </c>
    </row>
    <row r="34" spans="1:5" x14ac:dyDescent="0.35">
      <c r="A34" s="2">
        <v>2007</v>
      </c>
      <c r="B34">
        <f>AVERAGE(DataSheet!B45:M45)</f>
        <v>207.34241666666671</v>
      </c>
      <c r="C34">
        <f>MEDIAN(DataSheet!B45:M45)</f>
        <v>208.12400000000002</v>
      </c>
      <c r="D34" t="e">
        <f>MODE(DataSheet!B45:M45)</f>
        <v>#N/A</v>
      </c>
      <c r="E34">
        <f>STDEVA(DataSheet!B45:M45)</f>
        <v>2.4348452053965222</v>
      </c>
    </row>
    <row r="35" spans="1:5" x14ac:dyDescent="0.35">
      <c r="A35" s="2">
        <v>2008</v>
      </c>
      <c r="B35">
        <f>AVERAGE(DataSheet!B46:M46)</f>
        <v>215.30250000000001</v>
      </c>
      <c r="C35">
        <f>MEDIAN(DataSheet!B46:M46)</f>
        <v>215.69800000000001</v>
      </c>
      <c r="D35" t="e">
        <f>MODE(DataSheet!B46:M46)</f>
        <v>#N/A</v>
      </c>
      <c r="E35">
        <f>STDEVA(DataSheet!B46:M46)</f>
        <v>3.4660044457821728</v>
      </c>
    </row>
    <row r="36" spans="1:5" x14ac:dyDescent="0.35">
      <c r="A36" s="2">
        <v>2009</v>
      </c>
      <c r="B36">
        <f>AVERAGE(DataSheet!B47:M47)</f>
        <v>214.53700000000001</v>
      </c>
      <c r="C36">
        <f>MEDIAN(DataSheet!B47:M47)</f>
        <v>215.52199999999999</v>
      </c>
      <c r="D36" t="e">
        <f>MODE(DataSheet!B47:M47)</f>
        <v>#N/A</v>
      </c>
      <c r="E36">
        <f>STDEVA(DataSheet!B47:M47)</f>
        <v>1.8123586841461594</v>
      </c>
    </row>
    <row r="37" spans="1:5" x14ac:dyDescent="0.35">
      <c r="A37" s="2">
        <v>2010</v>
      </c>
      <c r="B37">
        <f>AVERAGE(DataSheet!B48:M48)</f>
        <v>218.05550000000002</v>
      </c>
      <c r="C37">
        <f>MEDIAN(DataSheet!B48:M48)</f>
        <v>218.09449999999998</v>
      </c>
      <c r="D37" t="e">
        <f>MODE(DataSheet!B48:M48)</f>
        <v>#N/A</v>
      </c>
      <c r="E37">
        <f>STDEVA(DataSheet!B48:M48)</f>
        <v>0.75509150559265148</v>
      </c>
    </row>
    <row r="38" spans="1:5" x14ac:dyDescent="0.35">
      <c r="A38" s="2">
        <v>2011</v>
      </c>
      <c r="B38">
        <f>AVERAGE(DataSheet!B49:M49)</f>
        <v>224.93916666666667</v>
      </c>
      <c r="C38">
        <f>MEDIAN(DataSheet!B49:M49)</f>
        <v>225.822</v>
      </c>
      <c r="D38" t="e">
        <f>MODE(DataSheet!B49:M49)</f>
        <v>#N/A</v>
      </c>
      <c r="E38">
        <f>STDEVA(DataSheet!B49:M49)</f>
        <v>2.1531681027703948</v>
      </c>
    </row>
    <row r="39" spans="1:5" x14ac:dyDescent="0.35">
      <c r="A39" s="2">
        <v>2012</v>
      </c>
      <c r="B39">
        <f>AVERAGE(DataSheet!B50:M50)</f>
        <v>229.5939166666667</v>
      </c>
      <c r="C39">
        <f>MEDIAN(DataSheet!B50:M50)</f>
        <v>229.708</v>
      </c>
      <c r="D39" t="e">
        <f>MODE(DataSheet!B50:M50)</f>
        <v>#N/A</v>
      </c>
      <c r="E39">
        <f>STDEVA(DataSheet!B50:M50)</f>
        <v>1.3536880571463319</v>
      </c>
    </row>
    <row r="40" spans="1:5" x14ac:dyDescent="0.35">
      <c r="A40" s="2">
        <v>2013</v>
      </c>
      <c r="B40">
        <f>AVERAGE(DataSheet!B51:M51)</f>
        <v>232.95708333333332</v>
      </c>
      <c r="C40">
        <f>MEDIAN(DataSheet!B51:M51)</f>
        <v>233.059</v>
      </c>
      <c r="D40" t="e">
        <f>MODE(DataSheet!B51:M51)</f>
        <v>#N/A</v>
      </c>
      <c r="E40">
        <f>STDEVA(DataSheet!B51:M51)</f>
        <v>1.015793864050391</v>
      </c>
    </row>
    <row r="41" spans="1:5" x14ac:dyDescent="0.35">
      <c r="A41" s="2">
        <v>2014</v>
      </c>
      <c r="B41">
        <f>AVERAGE(DataSheet!B52:M52)</f>
        <v>236.73616666666666</v>
      </c>
      <c r="C41">
        <f>MEDIAN(DataSheet!B52:M52)</f>
        <v>237.2525</v>
      </c>
      <c r="D41" t="e">
        <f>MODE(DataSheet!B52:M52)</f>
        <v>#N/A</v>
      </c>
      <c r="E41">
        <f>STDEVA(DataSheet!B52:M52)</f>
        <v>1.5304604674490079</v>
      </c>
    </row>
    <row r="42" spans="1:5" x14ac:dyDescent="0.35">
      <c r="A42" s="2">
        <v>2015</v>
      </c>
      <c r="B42">
        <f>AVERAGE(DataSheet!B53:M53)</f>
        <v>237.01700000000002</v>
      </c>
      <c r="C42">
        <f>MEDIAN(DataSheet!B53:M53)</f>
        <v>237.57050000000001</v>
      </c>
      <c r="D42" t="e">
        <f>MODE(DataSheet!B53:M53)</f>
        <v>#N/A</v>
      </c>
      <c r="E42">
        <f>STDEVA(DataSheet!B53:M53)</f>
        <v>1.5579432245460973</v>
      </c>
    </row>
    <row r="43" spans="1:5" x14ac:dyDescent="0.35">
      <c r="A43" s="2">
        <v>2016</v>
      </c>
      <c r="B43">
        <f>AVERAGE(DataSheet!B54:M54)</f>
        <v>240.00716666666662</v>
      </c>
      <c r="C43">
        <f>MEDIAN(DataSheet!B54:M54)</f>
        <v>240.73849999999999</v>
      </c>
      <c r="D43" t="e">
        <f>MODE(DataSheet!B54:M54)</f>
        <v>#N/A</v>
      </c>
      <c r="E43">
        <f>STDEVA(DataSheet!B54:M54)</f>
        <v>1.7322112422792995</v>
      </c>
    </row>
    <row r="44" spans="1:5" x14ac:dyDescent="0.35">
      <c r="A44" s="2">
        <v>2017</v>
      </c>
      <c r="B44">
        <f>AVERAGE(DataSheet!B55:M55)</f>
        <v>245.11958333333334</v>
      </c>
      <c r="C44">
        <f>MEDIAN(DataSheet!B55:M55)</f>
        <v>244.87049999999999</v>
      </c>
      <c r="D44" t="e">
        <f>MODE(DataSheet!B55:M55)</f>
        <v>#N/A</v>
      </c>
      <c r="E44">
        <f>STDEVA(DataSheet!B55:M55)</f>
        <v>1.3377403918775157</v>
      </c>
    </row>
    <row r="45" spans="1:5" x14ac:dyDescent="0.35">
      <c r="A45" s="2">
        <v>2018</v>
      </c>
      <c r="B45">
        <f>AVERAGE(DataSheet!B56:M56)</f>
        <v>251.10683333333338</v>
      </c>
      <c r="C45">
        <f>MEDIAN(DataSheet!B56:M56)</f>
        <v>251.7885</v>
      </c>
      <c r="D45" t="e">
        <f>MODE(DataSheet!B56:M56)</f>
        <v>#N/A</v>
      </c>
      <c r="E45">
        <f>STDEVA(DataSheet!B56:M56)</f>
        <v>1.5496843569129173</v>
      </c>
    </row>
    <row r="46" spans="1:5" x14ac:dyDescent="0.35">
      <c r="A46" s="2">
        <v>2019</v>
      </c>
      <c r="B46">
        <f>AVERAGE(DataSheet!B57:M57)</f>
        <v>255.65741666666668</v>
      </c>
      <c r="C46">
        <f>MEDIAN(DataSheet!B57:M57)</f>
        <v>256.35050000000001</v>
      </c>
      <c r="D46" t="e">
        <f>MODE(DataSheet!B57:M57)</f>
        <v>#N/A</v>
      </c>
      <c r="E46">
        <f>STDEVA(DataSheet!B57:M57)</f>
        <v>1.8158875344797099</v>
      </c>
    </row>
    <row r="47" spans="1:5" x14ac:dyDescent="0.35">
      <c r="A47" s="2">
        <v>2020</v>
      </c>
      <c r="B47">
        <f>AVERAGE(DataSheet!B58:M58)</f>
        <v>258.81116666666668</v>
      </c>
      <c r="C47">
        <f>MEDIAN(DataSheet!B58:M58)</f>
        <v>258.8895</v>
      </c>
      <c r="D47" t="e">
        <f>MODE(DataSheet!B58:M58)</f>
        <v>#N/A</v>
      </c>
      <c r="E47">
        <f>STDEVA(DataSheet!B58:M58)</f>
        <v>1.4977135806611812</v>
      </c>
    </row>
    <row r="48" spans="1:5" x14ac:dyDescent="0.35">
      <c r="A48" s="2">
        <v>2021</v>
      </c>
      <c r="B48">
        <f>AVERAGE(DataSheet!B59:M59)</f>
        <v>270.96975000000003</v>
      </c>
      <c r="C48">
        <f>MEDIAN(DataSheet!B59:M59)</f>
        <v>272.34950000000003</v>
      </c>
      <c r="D48" t="e">
        <f>MODE(DataSheet!B59:M59)</f>
        <v>#N/A</v>
      </c>
      <c r="E48">
        <f>STDEVA(DataSheet!B59:M59)</f>
        <v>5.809153061802947</v>
      </c>
    </row>
    <row r="49" spans="1:5" x14ac:dyDescent="0.35">
      <c r="A49" s="2">
        <v>2022</v>
      </c>
      <c r="B49">
        <f>AVERAGE(DataSheet!B60:M60)</f>
        <v>292.65491666666668</v>
      </c>
      <c r="C49">
        <f>MEDIAN(DataSheet!B60:M60)</f>
        <v>296.2235</v>
      </c>
      <c r="D49" t="e">
        <f>MODE(DataSheet!B60:M60)</f>
        <v>#N/A</v>
      </c>
      <c r="E49">
        <f>STDEVA(DataSheet!B60:M60)</f>
        <v>5.870240500855032</v>
      </c>
    </row>
    <row r="50" spans="1:5" x14ac:dyDescent="0.35">
      <c r="A50" s="2">
        <v>2023</v>
      </c>
      <c r="B50">
        <f>AVERAGE(DataSheet!B61:M61)</f>
        <v>304.7015833333333</v>
      </c>
      <c r="C50">
        <f>MEDIAN(DataSheet!B61:M61)</f>
        <v>305.39999999999998</v>
      </c>
      <c r="D50" t="e">
        <f>MODE(DataSheet!B61:M61)</f>
        <v>#N/A</v>
      </c>
      <c r="E50">
        <f>STDEVA(DataSheet!B61:M61)</f>
        <v>2.8673805105748014</v>
      </c>
    </row>
    <row r="51" spans="1:5" x14ac:dyDescent="0.35">
      <c r="A51" s="2">
        <v>2024</v>
      </c>
      <c r="B51">
        <f>AVERAGE(DataSheet!B62:M62)</f>
        <v>313.68883333333332</v>
      </c>
      <c r="C51">
        <f>MEDIAN(DataSheet!B62:M62)</f>
        <v>314.35750000000002</v>
      </c>
      <c r="D51" t="e">
        <f>MODE(DataSheet!B62:M62)</f>
        <v>#N/A</v>
      </c>
      <c r="E51">
        <f>STDEVA(DataSheet!B62:M62)</f>
        <v>2.2707621801474267</v>
      </c>
    </row>
    <row r="52" spans="1:5" x14ac:dyDescent="0.35">
      <c r="A52" s="2">
        <v>2025</v>
      </c>
      <c r="B52">
        <f>AVERAGE(DataSheet!B63:M63)</f>
        <v>321.04962499999999</v>
      </c>
      <c r="C52">
        <f>MEDIAN(DataSheet!B63:M63)</f>
        <v>321.13</v>
      </c>
      <c r="D52" t="e">
        <f>MODE(DataSheet!B63:M63)</f>
        <v>#N/A</v>
      </c>
      <c r="E52">
        <f>STDEVA(DataSheet!B63:M63)</f>
        <v>2.1357339278838765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0A2A810F25F848BFA092BBEA850C3A" ma:contentTypeVersion="6" ma:contentTypeDescription="Create a new document." ma:contentTypeScope="" ma:versionID="a2279ea7da08e92911f88c4cc3faf736">
  <xsd:schema xmlns:xsd="http://www.w3.org/2001/XMLSchema" xmlns:xs="http://www.w3.org/2001/XMLSchema" xmlns:p="http://schemas.microsoft.com/office/2006/metadata/properties" xmlns:ns3="6b32e734-4d8f-4e84-9211-96864bfbbc0c" targetNamespace="http://schemas.microsoft.com/office/2006/metadata/properties" ma:root="true" ma:fieldsID="966b50d4ad832fec78d5b075e2dde282" ns3:_="">
    <xsd:import namespace="6b32e734-4d8f-4e84-9211-96864bfbbc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2e734-4d8f-4e84-9211-96864bfbbc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32e734-4d8f-4e84-9211-96864bfbbc0c" xsi:nil="true"/>
  </documentManagement>
</p:properties>
</file>

<file path=customXml/itemProps1.xml><?xml version="1.0" encoding="utf-8"?>
<ds:datastoreItem xmlns:ds="http://schemas.openxmlformats.org/officeDocument/2006/customXml" ds:itemID="{88BADB8B-209E-43F3-AD16-FDB11FA88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32e734-4d8f-4e84-9211-96864bfbbc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7C24AE-BA3C-4B17-A19D-B7B1FB48B6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24D654-130C-49AD-BA6B-D96EF66A7F0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6b32e734-4d8f-4e84-9211-96864bfbbc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</vt:lpstr>
      <vt:lpstr>CPI Per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Mitchell, Wayne, 5871</cp:lastModifiedBy>
  <dcterms:created xsi:type="dcterms:W3CDTF">2025-10-17T22:10:18Z</dcterms:created>
  <dcterms:modified xsi:type="dcterms:W3CDTF">2025-11-03T00:10:13Z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0x0101002E0A2A810F25F848BFA092BBEA850C3A</vt:lpwstr>
  </property>
</Properties>
</file>