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CJ\Downloads\"/>
    </mc:Choice>
  </mc:AlternateContent>
  <xr:revisionPtr revIDLastSave="0" documentId="13_ncr:1_{18F2054C-960A-4DD7-83F2-105D4C78EA23}" xr6:coauthVersionLast="47" xr6:coauthVersionMax="47" xr10:uidLastSave="{00000000-0000-0000-0000-000000000000}"/>
  <bookViews>
    <workbookView xWindow="-120" yWindow="-120" windowWidth="38640" windowHeight="21120" xr2:uid="{00000000-000D-0000-FFFF-FFFF00000000}"/>
  </bookViews>
  <sheets>
    <sheet name="Project schedule" sheetId="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1" l="1"/>
  <c r="H36" i="1"/>
  <c r="H7" i="1"/>
  <c r="Q1" i="1"/>
  <c r="I4" i="1" s="1"/>
  <c r="I3" i="1" s="1"/>
  <c r="J4" i="1" l="1"/>
  <c r="K4" i="1" s="1"/>
  <c r="L4" i="1" s="1"/>
  <c r="M4" i="1" s="1"/>
  <c r="N4" i="1" s="1"/>
  <c r="O4" i="1" s="1"/>
  <c r="P4" i="1" s="1"/>
  <c r="Q4" i="1" s="1"/>
  <c r="R4" i="1" s="1"/>
  <c r="S4" i="1" s="1"/>
  <c r="T4" i="1" s="1"/>
  <c r="U4" i="1" s="1"/>
  <c r="V4" i="1" s="1"/>
  <c r="W4" i="1" s="1"/>
  <c r="X4" i="1" s="1"/>
  <c r="Y4" i="1" s="1"/>
  <c r="Z4" i="1" s="1"/>
  <c r="AA4" i="1" s="1"/>
  <c r="AB4" i="1" s="1"/>
  <c r="AC4" i="1" s="1"/>
  <c r="AD4" i="1" s="1"/>
  <c r="AE4" i="1" s="1"/>
  <c r="AF4" i="1" s="1"/>
  <c r="AG4" i="1" s="1"/>
  <c r="AH4" i="1" s="1"/>
  <c r="AI4" i="1" s="1"/>
  <c r="AJ4" i="1" s="1"/>
  <c r="AK4" i="1" s="1"/>
  <c r="AL4" i="1" s="1"/>
  <c r="AM4" i="1" s="1"/>
  <c r="AN4" i="1" s="1"/>
  <c r="AO4" i="1" s="1"/>
  <c r="AP4" i="1" s="1"/>
  <c r="AQ4" i="1" s="1"/>
  <c r="AR4" i="1" s="1"/>
  <c r="AS4" i="1" s="1"/>
  <c r="AT4" i="1" s="1"/>
  <c r="AU4" i="1" s="1"/>
  <c r="AV4" i="1" s="1"/>
  <c r="AW4" i="1" s="1"/>
  <c r="AX4" i="1" s="1"/>
  <c r="AY4" i="1" s="1"/>
  <c r="AZ4" i="1" s="1"/>
  <c r="BA4" i="1" s="1"/>
  <c r="BB4" i="1" s="1"/>
  <c r="BC4" i="1" s="1"/>
  <c r="BD4" i="1" s="1"/>
  <c r="BE4" i="1" s="1"/>
  <c r="BF4" i="1" s="1"/>
  <c r="BG4" i="1" s="1"/>
  <c r="BH4" i="1" s="1"/>
  <c r="BI4" i="1" s="1"/>
  <c r="BJ4" i="1" s="1"/>
  <c r="BK4" i="1" s="1"/>
  <c r="BL4" i="1" s="1"/>
  <c r="BL5" i="1" s="1"/>
  <c r="I5" i="1"/>
  <c r="J5" i="1" l="1"/>
  <c r="K5" i="1" l="1"/>
  <c r="L5" i="1" l="1"/>
  <c r="M5" i="1" l="1"/>
  <c r="N5" i="1" l="1"/>
  <c r="P3" i="1" l="1"/>
  <c r="O5" i="1"/>
  <c r="P5" i="1" l="1"/>
  <c r="Q5" i="1" l="1"/>
  <c r="R5" i="1" l="1"/>
  <c r="S5" i="1" l="1"/>
  <c r="T5" i="1" l="1"/>
  <c r="U5" i="1" l="1"/>
  <c r="W3" i="1" l="1"/>
  <c r="V5" i="1"/>
  <c r="W5" i="1" l="1"/>
  <c r="X5" i="1" l="1"/>
  <c r="Y5" i="1" l="1"/>
  <c r="Z5" i="1" l="1"/>
  <c r="AA5" i="1" l="1"/>
  <c r="AB5" i="1" l="1"/>
  <c r="AC5" i="1" l="1"/>
  <c r="AD3" i="1"/>
  <c r="AD5" i="1" l="1"/>
  <c r="AE5" i="1" l="1"/>
  <c r="AF5" i="1" l="1"/>
  <c r="AG5" i="1" l="1"/>
  <c r="AH5" i="1" l="1"/>
  <c r="AI5" i="1" l="1"/>
  <c r="AJ5" i="1" l="1"/>
  <c r="AK3" i="1"/>
  <c r="AK5" i="1" l="1"/>
  <c r="AL5" i="1" l="1"/>
  <c r="AM5" i="1" l="1"/>
  <c r="AN5" i="1" l="1"/>
  <c r="AO5" i="1" l="1"/>
  <c r="AP5" i="1" l="1"/>
  <c r="AQ5" i="1" l="1"/>
  <c r="AR3" i="1"/>
  <c r="AR5" i="1" l="1"/>
  <c r="AS5" i="1" l="1"/>
  <c r="AT5" i="1" l="1"/>
  <c r="AU5" i="1" l="1"/>
  <c r="AV5" i="1" l="1"/>
  <c r="AW5" i="1" l="1"/>
  <c r="AY3" i="1" l="1"/>
  <c r="AX5" i="1"/>
  <c r="AY5" i="1" l="1"/>
  <c r="AZ5" i="1" l="1"/>
  <c r="BA5" i="1" l="1"/>
  <c r="BB5" i="1" l="1"/>
  <c r="BC5" i="1" l="1"/>
  <c r="BD5" i="1" l="1"/>
  <c r="BF3" i="1" l="1"/>
  <c r="BE5" i="1"/>
  <c r="BF5" i="1" l="1"/>
  <c r="BG5" i="1" l="1"/>
  <c r="BH5" i="1" l="1"/>
  <c r="BI5" i="1" l="1"/>
  <c r="BJ5" i="1" l="1"/>
  <c r="BK5" i="1" l="1"/>
</calcChain>
</file>

<file path=xl/sharedStrings.xml><?xml version="1.0" encoding="utf-8"?>
<sst xmlns="http://schemas.openxmlformats.org/spreadsheetml/2006/main" count="37" uniqueCount="37">
  <si>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</si>
  <si>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</si>
  <si>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</si>
  <si>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</si>
  <si>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</si>
  <si>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</si>
  <si>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</si>
  <si>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</si>
  <si>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Identify needs</t>
  </si>
  <si>
    <t>Set budget</t>
  </si>
  <si>
    <t>Research car models</t>
  </si>
  <si>
    <t>Compare prices</t>
  </si>
  <si>
    <t>Check insurance estimates</t>
  </si>
  <si>
    <t>Decide new vs used</t>
  </si>
  <si>
    <t>Check credit score</t>
  </si>
  <si>
    <t>Research financing options</t>
  </si>
  <si>
    <t>Get pre-approval</t>
  </si>
  <si>
    <t>Determine trade-in value</t>
  </si>
  <si>
    <t>Visit dealerships</t>
  </si>
  <si>
    <t>Test-drive vehicles</t>
  </si>
  <si>
    <t>Vehicle inspection</t>
  </si>
  <si>
    <t>Review history report</t>
  </si>
  <si>
    <t>Select final car</t>
  </si>
  <si>
    <t>Negotiate price</t>
  </si>
  <si>
    <t>Negotiate financing</t>
  </si>
  <si>
    <t>Finalize purchase agreement</t>
  </si>
  <si>
    <t>Complete financing paperwork</t>
  </si>
  <si>
    <t>Pay down payment</t>
  </si>
  <si>
    <t>Sign sales contract</t>
  </si>
  <si>
    <t>Obtain temporary registration</t>
  </si>
  <si>
    <t>Obtain insurance</t>
  </si>
  <si>
    <t>Take delivery</t>
  </si>
  <si>
    <t>Register vehicle</t>
  </si>
  <si>
    <t>Pay taxes and title fees</t>
  </si>
  <si>
    <t>Set up insurance policy</t>
  </si>
  <si>
    <t>Schedule first maintenance</t>
  </si>
  <si>
    <t>Project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</si>
</sst>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numFmt numFmtId="165" formatCode="m/d/yy;@"/>
    <numFmt numFmtId="166" formatCode="ddd\,\ m/d/yyyy"/>
    <numFmt numFmtId="167" formatCode="mmm\ d\,\ yyyy"/>
  </numFmts>
  <fonts count="2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b/>
      <sz val="40"/>
      <color theme="9"/>
      <name val="Arial Black"/>
      <family val="2"/>
      <scheme val="major"/>
    </font>
  </fonts>
  <fills count="5">
    <fill>
      <patternFill patternType="none"/>
    </fill>
    <fill>
      <patternFill patternType="gray125"/>
    </fill>
    <fill>
      <patternFill patternType="solid">
        <fgColor theme="0" tint="-4.9989318521683403E-2"/>
        <bgColor indexed="64"/>
      </patternFill>
    </fill>
    <fill>
      <patternFill patternType="solid">
        <fgColor theme="0" tint="-4.9989318521683403E-2"/>
        <bgColor theme="4"/>
      </patternFill>
    </fill>
    <fill>
      <patternFill patternType="solid">
        <fgColor theme="0" tint="-0.14993743705557422"/>
        <bgColor indexed="64"/>
      </patternFill>
    </fill>
  </fills>
  <borders count="12">
    <border>
      <left/>
      <right/>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0691854609822"/>
      </left>
      <right style="thin">
        <color theme="0" tint="-0.14990691854609822"/>
      </right>
      <top/>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lignment vertical="top"/>
      <protection locked="0"/>
    </xf>
    <xf numFmtId="9" fontId="4" fillId="0" borderId="0"/>
    <xf numFmtId="0" fontId="9" fillId="0" borderId="0"/>
    <xf numFmtId="0" fontId="6" fillId="0" borderId="0"/>
    <xf numFmtId="0" fontId="5" fillId="0" borderId="0"/>
    <xf numFmtId="0" fontId="5" fillId="0" borderId="0">
      <alignment vertical="top"/>
    </xf>
    <xf numFmtId="0" fontId="4" fillId="0" borderId="0">
      <alignment horizontal="right" indent="1"/>
    </xf>
    <xf numFmtId="166" fontId="4" fillId="0" borderId="2">
      <alignment horizontal="center" vertical="center"/>
    </xf>
    <xf numFmtId="165" fontId="4" fillId="0" borderId="1">
      <alignment horizontal="center" vertical="center"/>
    </xf>
    <xf numFmtId="0" fontId="4" fillId="0" borderId="1">
      <alignment horizontal="center" vertical="center"/>
    </xf>
    <xf numFmtId="0" fontId="4" fillId="0" borderId="1">
      <alignment horizontal="left" vertical="center" indent="2"/>
    </xf>
  </cellStyleXfs>
  <cellXfs count="6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7">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4" fontId="17" fillId="4" borderId="10" xfId="0" applyNumberFormat="1" applyFont="1" applyFill="1" applyBorder="1" applyAlignment="1">
      <alignment horizontal="center" vertical="center"/>
    </xf>
    <xf numFmtId="164" fontId="17" fillId="4" borderId="8" xfId="0" applyNumberFormat="1" applyFont="1" applyFill="1" applyBorder="1" applyAlignment="1">
      <alignment horizontal="center" vertical="center"/>
    </xf>
    <xf numFmtId="164" fontId="17" fillId="4" borderId="9" xfId="0" applyNumberFormat="1" applyFont="1" applyFill="1" applyBorder="1" applyAlignment="1">
      <alignment horizontal="center" vertical="center"/>
    </xf>
    <xf numFmtId="0" fontId="18" fillId="2" borderId="7" xfId="0" applyFont="1" applyFill="1" applyBorder="1" applyAlignment="1">
      <alignment horizontal="center" vertical="center" shrinkToFit="1"/>
    </xf>
    <xf numFmtId="0" fontId="18" fillId="2" borderId="5" xfId="0" applyFont="1" applyFill="1" applyBorder="1" applyAlignment="1">
      <alignment horizontal="center" vertical="center" shrinkToFit="1"/>
    </xf>
    <xf numFmtId="0" fontId="18" fillId="2" borderId="6"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4" fillId="0" borderId="4" xfId="0" applyFont="1" applyBorder="1" applyAlignment="1">
      <alignment vertical="center"/>
    </xf>
    <xf numFmtId="0" fontId="4" fillId="0" borderId="0" xfId="0" applyFont="1" applyAlignment="1">
      <alignment vertical="center"/>
    </xf>
    <xf numFmtId="0" fontId="15" fillId="0" borderId="0" xfId="11" applyFont="1" applyBorder="1">
      <alignment horizontal="left" vertical="center" indent="2"/>
    </xf>
    <xf numFmtId="0" fontId="15" fillId="0" borderId="0" xfId="10" applyFont="1" applyBorder="1" applyAlignment="1">
      <alignment vertical="center"/>
    </xf>
    <xf numFmtId="9" fontId="1" fillId="0" borderId="0" xfId="2" applyFont="1" applyAlignment="1">
      <alignment horizontal="center" vertical="center"/>
    </xf>
    <xf numFmtId="0" fontId="19" fillId="2" borderId="0" xfId="0" applyFont="1" applyFill="1" applyAlignment="1">
      <alignment horizontal="left" vertical="center" indent="1"/>
    </xf>
    <xf numFmtId="0" fontId="19" fillId="2" borderId="0" xfId="0" applyFont="1" applyFill="1" applyAlignment="1">
      <alignment vertical="center"/>
    </xf>
    <xf numFmtId="9" fontId="1" fillId="2" borderId="0" xfId="2" applyFont="1" applyFill="1" applyAlignment="1">
      <alignment horizontal="center" vertical="center"/>
    </xf>
    <xf numFmtId="165" fontId="20"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1" fillId="0" borderId="0" xfId="5" applyFont="1" applyAlignment="1">
      <alignment horizontal="left" vertical="center" indent="1"/>
    </xf>
    <xf numFmtId="0" fontId="21" fillId="0" borderId="0" xfId="6" applyFont="1" applyAlignment="1">
      <alignment horizontal="left" vertical="center" indent="1"/>
    </xf>
    <xf numFmtId="0" fontId="23" fillId="0" borderId="0" xfId="4" applyFont="1" applyAlignment="1">
      <alignment horizontal="left"/>
    </xf>
    <xf numFmtId="0" fontId="9" fillId="0" borderId="0" xfId="3" applyAlignment="1">
      <alignment wrapText="1"/>
    </xf>
    <xf numFmtId="0" fontId="4" fillId="0" borderId="0" xfId="0" applyFont="1"/>
    <xf numFmtId="0" fontId="16" fillId="3" borderId="10" xfId="0" applyFont="1" applyFill="1" applyBorder="1" applyAlignment="1">
      <alignment horizontal="center" vertical="center"/>
    </xf>
    <xf numFmtId="0" fontId="0" fillId="0" borderId="11" xfId="0" applyBorder="1"/>
    <xf numFmtId="0" fontId="21" fillId="0" borderId="0" xfId="7" applyFont="1" applyAlignment="1">
      <alignment horizontal="left"/>
    </xf>
    <xf numFmtId="0" fontId="0" fillId="0" borderId="0" xfId="0"/>
    <xf numFmtId="0" fontId="0" fillId="0" borderId="10" xfId="0" applyBorder="1"/>
    <xf numFmtId="0" fontId="0" fillId="0" borderId="8" xfId="0" applyBorder="1"/>
    <xf numFmtId="167" fontId="15" fillId="2" borderId="8" xfId="0" applyNumberFormat="1" applyFont="1" applyFill="1" applyBorder="1" applyAlignment="1">
      <alignment horizontal="center" vertical="center" wrapText="1"/>
    </xf>
    <xf numFmtId="166" fontId="22" fillId="0" borderId="0" xfId="8" applyFont="1" applyBorder="1" applyAlignment="1">
      <alignment horizontal="left"/>
    </xf>
    <xf numFmtId="0" fontId="16" fillId="3" borderId="10" xfId="0" applyFont="1" applyFill="1" applyBorder="1" applyAlignment="1">
      <alignment vertical="center"/>
    </xf>
    <xf numFmtId="0" fontId="22" fillId="0" borderId="0" xfId="0" applyFont="1" applyAlignment="1">
      <alignment horizontal="left"/>
    </xf>
    <xf numFmtId="0" fontId="16" fillId="3" borderId="10" xfId="0" applyFont="1" applyFill="1" applyBorder="1" applyAlignment="1">
      <alignment horizontal="left" vertical="center" indent="1"/>
    </xf>
    <xf numFmtId="165" fontId="16" fillId="3" borderId="10" xfId="0" applyNumberFormat="1" applyFont="1" applyFill="1" applyBorder="1" applyAlignment="1">
      <alignment horizontal="center" vertical="center"/>
    </xf>
    <xf numFmtId="165" fontId="0" fillId="0" borderId="11" xfId="0" applyNumberFormat="1" applyBorder="1"/>
    <xf numFmtId="165" fontId="0" fillId="0" borderId="0" xfId="0" applyNumberFormat="1"/>
    <xf numFmtId="165" fontId="15" fillId="0" borderId="0" xfId="9" applyNumberFormat="1" applyFont="1" applyBorder="1">
      <alignment horizontal="center" vertical="center"/>
    </xf>
    <xf numFmtId="0" fontId="0" fillId="0" borderId="0" xfId="0" applyFont="1" applyAlignment="1">
      <alignment vertical="center"/>
    </xf>
  </cellXfs>
  <cellStyles count="12">
    <cellStyle name="Date" xfId="9" xr:uid="{00000000-0005-0000-0000-00000A000000}"/>
    <cellStyle name="Heading 1" xfId="5" builtinId="16"/>
    <cellStyle name="Heading 2" xfId="6" builtinId="17"/>
    <cellStyle name="Heading 3" xfId="7" builtinId="18"/>
    <cellStyle name="Hyperlink" xfId="1" builtinId="8"/>
    <cellStyle name="Name" xfId="10" xr:uid="{00000000-0005-0000-0000-00000B000000}"/>
    <cellStyle name="Normal" xfId="0" builtinId="0"/>
    <cellStyle name="Percent" xfId="2" builtinId="5"/>
    <cellStyle name="Project Start" xfId="8" xr:uid="{00000000-0005-0000-0000-000009000000}"/>
    <cellStyle name="Task" xfId="11" xr:uid="{00000000-0005-0000-0000-00000C000000}"/>
    <cellStyle name="Title" xfId="4" builtinId="15"/>
    <cellStyle name="zHiddenText" xfId="3" xr:uid="{00000000-0005-0000-0000-000003000000}"/>
  </cellStyles>
  <dxfs count="27">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0"/>
  <sheetViews>
    <sheetView showGridLines="0" tabSelected="1" showRuler="0" topLeftCell="B1" zoomScaleNormal="100" zoomScalePageLayoutView="70" workbookViewId="0">
      <selection activeCell="S11" sqref="S11"/>
    </sheetView>
  </sheetViews>
  <sheetFormatPr defaultColWidth="8.75" defaultRowHeight="30" customHeight="1" x14ac:dyDescent="0.2"/>
  <cols>
    <col min="1" max="1" width="2.75" style="7"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8"/>
      <c r="B1" s="47" t="s">
        <v>36</v>
      </c>
      <c r="C1" s="12"/>
      <c r="D1" s="13"/>
      <c r="E1" s="14"/>
      <c r="F1" s="15"/>
      <c r="H1" s="1"/>
      <c r="I1" s="52" t="s">
        <v>0</v>
      </c>
      <c r="J1" s="53"/>
      <c r="K1" s="53"/>
      <c r="L1" s="53"/>
      <c r="M1" s="53"/>
      <c r="N1" s="53"/>
      <c r="O1" s="53"/>
      <c r="P1" s="18"/>
      <c r="Q1" s="57">
        <f ca="1">TODAY()</f>
        <v>46075</v>
      </c>
      <c r="R1" s="53"/>
      <c r="S1" s="53"/>
      <c r="T1" s="53"/>
      <c r="U1" s="53"/>
      <c r="V1" s="53"/>
      <c r="W1" s="53"/>
      <c r="X1" s="53"/>
      <c r="Y1" s="53"/>
      <c r="Z1" s="53"/>
    </row>
    <row r="2" spans="1:64" ht="30" customHeight="1" x14ac:dyDescent="0.5">
      <c r="B2" s="45"/>
      <c r="C2" s="46"/>
      <c r="D2" s="16"/>
      <c r="E2" s="17"/>
      <c r="F2" s="16"/>
      <c r="I2" s="52" t="s">
        <v>1</v>
      </c>
      <c r="J2" s="53"/>
      <c r="K2" s="53"/>
      <c r="L2" s="53"/>
      <c r="M2" s="53"/>
      <c r="N2" s="53"/>
      <c r="O2" s="53"/>
      <c r="P2" s="18"/>
      <c r="Q2" s="59">
        <v>1</v>
      </c>
      <c r="R2" s="53"/>
      <c r="S2" s="53"/>
      <c r="T2" s="53"/>
      <c r="U2" s="53"/>
      <c r="V2" s="53"/>
      <c r="W2" s="53"/>
      <c r="X2" s="53"/>
      <c r="Y2" s="53"/>
      <c r="Z2" s="53"/>
    </row>
    <row r="3" spans="1:64" s="20" customFormat="1" ht="30" customHeight="1" x14ac:dyDescent="0.2">
      <c r="A3" s="7"/>
      <c r="B3" s="23"/>
      <c r="E3" s="24"/>
      <c r="I3" s="56">
        <f ca="1">I4</f>
        <v>46076</v>
      </c>
      <c r="J3" s="54"/>
      <c r="K3" s="54"/>
      <c r="L3" s="54"/>
      <c r="M3" s="54"/>
      <c r="N3" s="54"/>
      <c r="O3" s="55"/>
      <c r="P3" s="56">
        <f ca="1">P4</f>
        <v>46083</v>
      </c>
      <c r="Q3" s="54"/>
      <c r="R3" s="54"/>
      <c r="S3" s="54"/>
      <c r="T3" s="54"/>
      <c r="U3" s="54"/>
      <c r="V3" s="55"/>
      <c r="W3" s="56">
        <f ca="1">W4</f>
        <v>46090</v>
      </c>
      <c r="X3" s="54"/>
      <c r="Y3" s="54"/>
      <c r="Z3" s="54"/>
      <c r="AA3" s="54"/>
      <c r="AB3" s="54"/>
      <c r="AC3" s="55"/>
      <c r="AD3" s="56">
        <f ca="1">AD4</f>
        <v>46097</v>
      </c>
      <c r="AE3" s="54"/>
      <c r="AF3" s="54"/>
      <c r="AG3" s="54"/>
      <c r="AH3" s="54"/>
      <c r="AI3" s="54"/>
      <c r="AJ3" s="55"/>
      <c r="AK3" s="56">
        <f ca="1">AK4</f>
        <v>46104</v>
      </c>
      <c r="AL3" s="54"/>
      <c r="AM3" s="54"/>
      <c r="AN3" s="54"/>
      <c r="AO3" s="54"/>
      <c r="AP3" s="54"/>
      <c r="AQ3" s="55"/>
      <c r="AR3" s="56">
        <f ca="1">AR4</f>
        <v>46111</v>
      </c>
      <c r="AS3" s="54"/>
      <c r="AT3" s="54"/>
      <c r="AU3" s="54"/>
      <c r="AV3" s="54"/>
      <c r="AW3" s="54"/>
      <c r="AX3" s="55"/>
      <c r="AY3" s="56">
        <f ca="1">AY4</f>
        <v>46118</v>
      </c>
      <c r="AZ3" s="54"/>
      <c r="BA3" s="54"/>
      <c r="BB3" s="54"/>
      <c r="BC3" s="54"/>
      <c r="BD3" s="54"/>
      <c r="BE3" s="55"/>
      <c r="BF3" s="56">
        <f ca="1">BF4</f>
        <v>46125</v>
      </c>
      <c r="BG3" s="54"/>
      <c r="BH3" s="54"/>
      <c r="BI3" s="54"/>
      <c r="BJ3" s="54"/>
      <c r="BK3" s="54"/>
      <c r="BL3" s="55"/>
    </row>
    <row r="4" spans="1:64" s="20" customFormat="1" ht="30" customHeight="1" x14ac:dyDescent="0.2">
      <c r="A4" s="8"/>
      <c r="B4" s="60" t="s">
        <v>2</v>
      </c>
      <c r="C4" s="58" t="s">
        <v>3</v>
      </c>
      <c r="D4" s="50" t="s">
        <v>4</v>
      </c>
      <c r="E4" s="61" t="s">
        <v>5</v>
      </c>
      <c r="F4" s="61" t="s">
        <v>6</v>
      </c>
      <c r="I4" s="25">
        <f ca="1">Project_Start-WEEKDAY(Project_Start,1)+2+7*(Display_Week-1)</f>
        <v>46076</v>
      </c>
      <c r="J4" s="25">
        <f t="shared" ref="J4:AO4" ca="1" si="0">I4+1</f>
        <v>46077</v>
      </c>
      <c r="K4" s="25">
        <f t="shared" ca="1" si="0"/>
        <v>46078</v>
      </c>
      <c r="L4" s="25">
        <f t="shared" ca="1" si="0"/>
        <v>46079</v>
      </c>
      <c r="M4" s="25">
        <f t="shared" ca="1" si="0"/>
        <v>46080</v>
      </c>
      <c r="N4" s="25">
        <f t="shared" ca="1" si="0"/>
        <v>46081</v>
      </c>
      <c r="O4" s="26">
        <f t="shared" ca="1" si="0"/>
        <v>46082</v>
      </c>
      <c r="P4" s="27">
        <f t="shared" ca="1" si="0"/>
        <v>46083</v>
      </c>
      <c r="Q4" s="25">
        <f t="shared" ca="1" si="0"/>
        <v>46084</v>
      </c>
      <c r="R4" s="25">
        <f t="shared" ca="1" si="0"/>
        <v>46085</v>
      </c>
      <c r="S4" s="25">
        <f t="shared" ca="1" si="0"/>
        <v>46086</v>
      </c>
      <c r="T4" s="25">
        <f t="shared" ca="1" si="0"/>
        <v>46087</v>
      </c>
      <c r="U4" s="25">
        <f t="shared" ca="1" si="0"/>
        <v>46088</v>
      </c>
      <c r="V4" s="26">
        <f t="shared" ca="1" si="0"/>
        <v>46089</v>
      </c>
      <c r="W4" s="27">
        <f t="shared" ca="1" si="0"/>
        <v>46090</v>
      </c>
      <c r="X4" s="25">
        <f t="shared" ca="1" si="0"/>
        <v>46091</v>
      </c>
      <c r="Y4" s="25">
        <f t="shared" ca="1" si="0"/>
        <v>46092</v>
      </c>
      <c r="Z4" s="25">
        <f t="shared" ca="1" si="0"/>
        <v>46093</v>
      </c>
      <c r="AA4" s="25">
        <f t="shared" ca="1" si="0"/>
        <v>46094</v>
      </c>
      <c r="AB4" s="25">
        <f t="shared" ca="1" si="0"/>
        <v>46095</v>
      </c>
      <c r="AC4" s="26">
        <f t="shared" ca="1" si="0"/>
        <v>46096</v>
      </c>
      <c r="AD4" s="27">
        <f t="shared" ca="1" si="0"/>
        <v>46097</v>
      </c>
      <c r="AE4" s="25">
        <f t="shared" ca="1" si="0"/>
        <v>46098</v>
      </c>
      <c r="AF4" s="25">
        <f t="shared" ca="1" si="0"/>
        <v>46099</v>
      </c>
      <c r="AG4" s="25">
        <f t="shared" ca="1" si="0"/>
        <v>46100</v>
      </c>
      <c r="AH4" s="25">
        <f t="shared" ca="1" si="0"/>
        <v>46101</v>
      </c>
      <c r="AI4" s="25">
        <f t="shared" ca="1" si="0"/>
        <v>46102</v>
      </c>
      <c r="AJ4" s="26">
        <f t="shared" ca="1" si="0"/>
        <v>46103</v>
      </c>
      <c r="AK4" s="27">
        <f t="shared" ca="1" si="0"/>
        <v>46104</v>
      </c>
      <c r="AL4" s="25">
        <f t="shared" ca="1" si="0"/>
        <v>46105</v>
      </c>
      <c r="AM4" s="25">
        <f t="shared" ca="1" si="0"/>
        <v>46106</v>
      </c>
      <c r="AN4" s="25">
        <f t="shared" ca="1" si="0"/>
        <v>46107</v>
      </c>
      <c r="AO4" s="25">
        <f t="shared" ca="1" si="0"/>
        <v>46108</v>
      </c>
      <c r="AP4" s="25">
        <f t="shared" ref="AP4:BL5" ca="1" si="1">AO4+1</f>
        <v>46109</v>
      </c>
      <c r="AQ4" s="26">
        <f t="shared" ca="1" si="1"/>
        <v>46110</v>
      </c>
      <c r="AR4" s="27">
        <f t="shared" ca="1" si="1"/>
        <v>46111</v>
      </c>
      <c r="AS4" s="25">
        <f t="shared" ca="1" si="1"/>
        <v>46112</v>
      </c>
      <c r="AT4" s="25">
        <f t="shared" ca="1" si="1"/>
        <v>46113</v>
      </c>
      <c r="AU4" s="25">
        <f t="shared" ca="1" si="1"/>
        <v>46114</v>
      </c>
      <c r="AV4" s="25">
        <f t="shared" ca="1" si="1"/>
        <v>46115</v>
      </c>
      <c r="AW4" s="25">
        <f t="shared" ca="1" si="1"/>
        <v>46116</v>
      </c>
      <c r="AX4" s="26">
        <f t="shared" ca="1" si="1"/>
        <v>46117</v>
      </c>
      <c r="AY4" s="27">
        <f t="shared" ca="1" si="1"/>
        <v>46118</v>
      </c>
      <c r="AZ4" s="25">
        <f t="shared" ca="1" si="1"/>
        <v>46119</v>
      </c>
      <c r="BA4" s="25">
        <f t="shared" ca="1" si="1"/>
        <v>46120</v>
      </c>
      <c r="BB4" s="25">
        <f t="shared" ca="1" si="1"/>
        <v>46121</v>
      </c>
      <c r="BC4" s="25">
        <f t="shared" ca="1" si="1"/>
        <v>46122</v>
      </c>
      <c r="BD4" s="25">
        <f t="shared" ca="1" si="1"/>
        <v>46123</v>
      </c>
      <c r="BE4" s="26">
        <f t="shared" ca="1" si="1"/>
        <v>46124</v>
      </c>
      <c r="BF4" s="27">
        <f t="shared" ca="1" si="1"/>
        <v>46125</v>
      </c>
      <c r="BG4" s="25">
        <f t="shared" ca="1" si="1"/>
        <v>46126</v>
      </c>
      <c r="BH4" s="25">
        <f t="shared" ca="1" si="1"/>
        <v>46127</v>
      </c>
      <c r="BI4" s="25">
        <f t="shared" ca="1" si="1"/>
        <v>46128</v>
      </c>
      <c r="BJ4" s="25">
        <f t="shared" ca="1" si="1"/>
        <v>46129</v>
      </c>
      <c r="BK4" s="25">
        <f t="shared" ca="1" si="1"/>
        <v>46130</v>
      </c>
      <c r="BL4" s="25">
        <f t="shared" ca="1" si="1"/>
        <v>46131</v>
      </c>
    </row>
    <row r="5" spans="1:64" s="20" customFormat="1" ht="15" customHeight="1" x14ac:dyDescent="0.2">
      <c r="A5" s="48"/>
      <c r="B5" s="51"/>
      <c r="C5" s="51"/>
      <c r="D5" s="51"/>
      <c r="E5" s="62"/>
      <c r="F5" s="62"/>
      <c r="I5" s="28" t="str">
        <f t="shared" ref="I5:AN5" ca="1" si="2">LEFT(TEXT(I4,"ddd"),1)</f>
        <v>M</v>
      </c>
      <c r="J5" s="29" t="str">
        <f t="shared" ca="1" si="2"/>
        <v>T</v>
      </c>
      <c r="K5" s="29" t="str">
        <f t="shared" ca="1" si="2"/>
        <v>W</v>
      </c>
      <c r="L5" s="29" t="str">
        <f t="shared" ca="1" si="2"/>
        <v>T</v>
      </c>
      <c r="M5" s="29" t="str">
        <f t="shared" ca="1" si="2"/>
        <v>F</v>
      </c>
      <c r="N5" s="29" t="str">
        <f t="shared" ca="1" si="2"/>
        <v>S</v>
      </c>
      <c r="O5" s="29" t="str">
        <f t="shared" ca="1" si="2"/>
        <v>S</v>
      </c>
      <c r="P5" s="29" t="str">
        <f t="shared" ca="1" si="2"/>
        <v>M</v>
      </c>
      <c r="Q5" s="29" t="str">
        <f t="shared" ca="1" si="2"/>
        <v>T</v>
      </c>
      <c r="R5" s="29" t="str">
        <f t="shared" ca="1" si="2"/>
        <v>W</v>
      </c>
      <c r="S5" s="29" t="str">
        <f t="shared" ca="1" si="2"/>
        <v>T</v>
      </c>
      <c r="T5" s="29" t="str">
        <f t="shared" ca="1" si="2"/>
        <v>F</v>
      </c>
      <c r="U5" s="29" t="str">
        <f t="shared" ca="1" si="2"/>
        <v>S</v>
      </c>
      <c r="V5" s="29" t="str">
        <f t="shared" ca="1" si="2"/>
        <v>S</v>
      </c>
      <c r="W5" s="29" t="str">
        <f t="shared" ca="1" si="2"/>
        <v>M</v>
      </c>
      <c r="X5" s="29" t="str">
        <f t="shared" ca="1" si="2"/>
        <v>T</v>
      </c>
      <c r="Y5" s="29" t="str">
        <f t="shared" ca="1" si="2"/>
        <v>W</v>
      </c>
      <c r="Z5" s="29" t="str">
        <f t="shared" ca="1" si="2"/>
        <v>T</v>
      </c>
      <c r="AA5" s="29" t="str">
        <f t="shared" ca="1" si="2"/>
        <v>F</v>
      </c>
      <c r="AB5" s="29" t="str">
        <f t="shared" ca="1" si="2"/>
        <v>S</v>
      </c>
      <c r="AC5" s="29" t="str">
        <f t="shared" ca="1" si="2"/>
        <v>S</v>
      </c>
      <c r="AD5" s="29" t="str">
        <f t="shared" ca="1" si="2"/>
        <v>M</v>
      </c>
      <c r="AE5" s="29" t="str">
        <f t="shared" ca="1" si="2"/>
        <v>T</v>
      </c>
      <c r="AF5" s="29" t="str">
        <f t="shared" ca="1" si="2"/>
        <v>W</v>
      </c>
      <c r="AG5" s="29" t="str">
        <f t="shared" ca="1" si="2"/>
        <v>T</v>
      </c>
      <c r="AH5" s="29" t="str">
        <f t="shared" ca="1" si="2"/>
        <v>F</v>
      </c>
      <c r="AI5" s="29" t="str">
        <f t="shared" ca="1" si="2"/>
        <v>S</v>
      </c>
      <c r="AJ5" s="29" t="str">
        <f t="shared" ca="1" si="2"/>
        <v>S</v>
      </c>
      <c r="AK5" s="29" t="str">
        <f t="shared" ca="1" si="2"/>
        <v>M</v>
      </c>
      <c r="AL5" s="29" t="str">
        <f t="shared" ca="1" si="2"/>
        <v>T</v>
      </c>
      <c r="AM5" s="29" t="str">
        <f t="shared" ca="1" si="2"/>
        <v>W</v>
      </c>
      <c r="AN5" s="29" t="str">
        <f t="shared" ca="1" si="2"/>
        <v>T</v>
      </c>
      <c r="AO5" s="29" t="str">
        <f t="shared" ref="AO5:BL5" ca="1" si="3">LEFT(TEXT(AO4,"ddd"),1)</f>
        <v>F</v>
      </c>
      <c r="AP5" s="29" t="str">
        <f t="shared" ca="1" si="3"/>
        <v>S</v>
      </c>
      <c r="AQ5" s="29" t="str">
        <f t="shared" ca="1" si="3"/>
        <v>S</v>
      </c>
      <c r="AR5" s="29" t="str">
        <f t="shared" ca="1" si="3"/>
        <v>M</v>
      </c>
      <c r="AS5" s="29" t="str">
        <f t="shared" ca="1" si="3"/>
        <v>T</v>
      </c>
      <c r="AT5" s="29" t="str">
        <f t="shared" ca="1" si="3"/>
        <v>W</v>
      </c>
      <c r="AU5" s="29" t="str">
        <f t="shared" ca="1" si="3"/>
        <v>T</v>
      </c>
      <c r="AV5" s="29" t="str">
        <f t="shared" ca="1" si="3"/>
        <v>F</v>
      </c>
      <c r="AW5" s="29" t="str">
        <f t="shared" ca="1" si="3"/>
        <v>S</v>
      </c>
      <c r="AX5" s="29" t="str">
        <f t="shared" ca="1" si="3"/>
        <v>S</v>
      </c>
      <c r="AY5" s="29" t="str">
        <f t="shared" ca="1" si="3"/>
        <v>M</v>
      </c>
      <c r="AZ5" s="29" t="str">
        <f t="shared" ca="1" si="3"/>
        <v>T</v>
      </c>
      <c r="BA5" s="29" t="str">
        <f t="shared" ca="1" si="3"/>
        <v>W</v>
      </c>
      <c r="BB5" s="29" t="str">
        <f t="shared" ca="1" si="3"/>
        <v>T</v>
      </c>
      <c r="BC5" s="29" t="str">
        <f t="shared" ca="1" si="3"/>
        <v>F</v>
      </c>
      <c r="BD5" s="29" t="str">
        <f t="shared" ca="1" si="3"/>
        <v>S</v>
      </c>
      <c r="BE5" s="29" t="str">
        <f t="shared" ca="1" si="3"/>
        <v>S</v>
      </c>
      <c r="BF5" s="29" t="str">
        <f t="shared" ca="1" si="3"/>
        <v>M</v>
      </c>
      <c r="BG5" s="29" t="str">
        <f t="shared" ca="1" si="3"/>
        <v>T</v>
      </c>
      <c r="BH5" s="29" t="str">
        <f t="shared" ca="1" si="3"/>
        <v>W</v>
      </c>
      <c r="BI5" s="29" t="str">
        <f t="shared" ca="1" si="3"/>
        <v>T</v>
      </c>
      <c r="BJ5" s="29" t="str">
        <f t="shared" ca="1" si="3"/>
        <v>F</v>
      </c>
      <c r="BK5" s="29" t="str">
        <f t="shared" ca="1" si="3"/>
        <v>S</v>
      </c>
      <c r="BL5" s="30" t="str">
        <f t="shared" ca="1" si="3"/>
        <v>S</v>
      </c>
    </row>
    <row r="6" spans="1:64" s="20" customFormat="1" ht="15" customHeight="1" x14ac:dyDescent="0.2">
      <c r="A6" s="49"/>
      <c r="B6" s="31"/>
      <c r="C6" s="32"/>
      <c r="D6" s="31"/>
      <c r="E6" s="31"/>
      <c r="F6" s="31"/>
    </row>
    <row r="7" spans="1:64" s="20" customFormat="1" ht="30" hidden="1" customHeight="1" thickBot="1" x14ac:dyDescent="0.2">
      <c r="A7" s="7" t="s">
        <v>7</v>
      </c>
      <c r="B7" t="s">
        <v>8</v>
      </c>
      <c r="C7" s="35"/>
      <c r="D7" s="35">
        <v>100</v>
      </c>
      <c r="E7" s="63">
        <v>46071</v>
      </c>
      <c r="F7" s="63">
        <v>46073</v>
      </c>
      <c r="H7" s="20">
        <f>IF(OR(ISBLANK(task_start),ISBLANK(task_end)),"",task_end-task_start+1)</f>
        <v>3</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35" customFormat="1" ht="30" customHeight="1" x14ac:dyDescent="0.2">
      <c r="B8" t="s">
        <v>9</v>
      </c>
      <c r="D8" s="35">
        <v>0</v>
      </c>
      <c r="E8" s="63">
        <v>46073</v>
      </c>
      <c r="F8" s="63">
        <v>46074</v>
      </c>
    </row>
    <row r="9" spans="1:64" s="35" customFormat="1" ht="30" customHeight="1" x14ac:dyDescent="0.2">
      <c r="B9" t="s">
        <v>10</v>
      </c>
      <c r="D9" s="35">
        <v>0</v>
      </c>
      <c r="E9" s="63">
        <v>46074</v>
      </c>
      <c r="F9" s="63">
        <v>46079</v>
      </c>
    </row>
    <row r="10" spans="1:64" s="35" customFormat="1" ht="30" customHeight="1" x14ac:dyDescent="0.2">
      <c r="B10" t="s">
        <v>11</v>
      </c>
      <c r="D10" s="35">
        <v>0</v>
      </c>
      <c r="E10" s="63">
        <v>46079</v>
      </c>
      <c r="F10" s="63">
        <v>46082</v>
      </c>
    </row>
    <row r="11" spans="1:64" s="35" customFormat="1" ht="30" customHeight="1" x14ac:dyDescent="0.2">
      <c r="B11" t="s">
        <v>12</v>
      </c>
      <c r="D11" s="35">
        <v>0</v>
      </c>
      <c r="E11" s="63">
        <v>46082</v>
      </c>
      <c r="F11" s="63">
        <v>46084</v>
      </c>
    </row>
    <row r="12" spans="1:64" s="35" customFormat="1" ht="30" customHeight="1" x14ac:dyDescent="0.2">
      <c r="B12" t="s">
        <v>13</v>
      </c>
      <c r="D12" s="35">
        <v>0</v>
      </c>
      <c r="E12" s="63">
        <v>46084</v>
      </c>
      <c r="F12" s="63">
        <v>46085</v>
      </c>
    </row>
    <row r="13" spans="1:64" s="35" customFormat="1" ht="30" customHeight="1" x14ac:dyDescent="0.2">
      <c r="B13" t="s">
        <v>14</v>
      </c>
      <c r="D13" s="35">
        <v>0</v>
      </c>
      <c r="E13" s="63">
        <v>46085</v>
      </c>
      <c r="F13" s="63">
        <v>46086</v>
      </c>
    </row>
    <row r="14" spans="1:64" s="35" customFormat="1" ht="30" customHeight="1" x14ac:dyDescent="0.2">
      <c r="B14" t="s">
        <v>15</v>
      </c>
      <c r="D14" s="35">
        <v>0</v>
      </c>
      <c r="E14" s="63">
        <v>46086</v>
      </c>
      <c r="F14" s="63">
        <v>46089</v>
      </c>
    </row>
    <row r="15" spans="1:64" s="35" customFormat="1" ht="30" customHeight="1" x14ac:dyDescent="0.2">
      <c r="B15" t="s">
        <v>16</v>
      </c>
      <c r="D15" s="35">
        <v>0</v>
      </c>
      <c r="E15" s="63">
        <v>46089</v>
      </c>
      <c r="F15" s="63">
        <v>46091</v>
      </c>
    </row>
    <row r="16" spans="1:64" s="35" customFormat="1" ht="30" customHeight="1" x14ac:dyDescent="0.2">
      <c r="B16" t="s">
        <v>17</v>
      </c>
      <c r="D16" s="35">
        <v>0</v>
      </c>
      <c r="E16" s="63">
        <v>46091</v>
      </c>
      <c r="F16" s="63">
        <v>46092</v>
      </c>
    </row>
    <row r="17" spans="2:6" s="35" customFormat="1" ht="30" customHeight="1" x14ac:dyDescent="0.2">
      <c r="B17" t="s">
        <v>18</v>
      </c>
      <c r="D17" s="35">
        <v>0</v>
      </c>
      <c r="E17" s="63">
        <v>46092</v>
      </c>
      <c r="F17" s="63">
        <v>46095</v>
      </c>
    </row>
    <row r="18" spans="2:6" s="35" customFormat="1" ht="30" customHeight="1" x14ac:dyDescent="0.2">
      <c r="B18" t="s">
        <v>19</v>
      </c>
      <c r="D18" s="35">
        <v>0</v>
      </c>
      <c r="E18" s="63">
        <v>46095</v>
      </c>
      <c r="F18" s="63">
        <v>46097</v>
      </c>
    </row>
    <row r="19" spans="2:6" s="35" customFormat="1" ht="30" customHeight="1" x14ac:dyDescent="0.2">
      <c r="B19" t="s">
        <v>20</v>
      </c>
      <c r="D19" s="35">
        <v>0</v>
      </c>
      <c r="E19" s="63">
        <v>46097</v>
      </c>
      <c r="F19" s="63">
        <v>46099</v>
      </c>
    </row>
    <row r="20" spans="2:6" s="35" customFormat="1" ht="30" customHeight="1" x14ac:dyDescent="0.2">
      <c r="B20" t="s">
        <v>21</v>
      </c>
      <c r="D20" s="35">
        <v>0</v>
      </c>
      <c r="E20" s="63">
        <v>46099</v>
      </c>
      <c r="F20" s="63">
        <v>46100</v>
      </c>
    </row>
    <row r="21" spans="2:6" s="35" customFormat="1" ht="30" customHeight="1" x14ac:dyDescent="0.2">
      <c r="B21" t="s">
        <v>22</v>
      </c>
      <c r="D21" s="35">
        <v>0</v>
      </c>
      <c r="E21" s="63">
        <v>46100</v>
      </c>
      <c r="F21" s="63">
        <v>46101</v>
      </c>
    </row>
    <row r="22" spans="2:6" s="35" customFormat="1" ht="30" customHeight="1" x14ac:dyDescent="0.2">
      <c r="B22" t="s">
        <v>23</v>
      </c>
      <c r="D22" s="35">
        <v>0</v>
      </c>
      <c r="E22" s="63">
        <v>46101</v>
      </c>
      <c r="F22" s="63">
        <v>46103</v>
      </c>
    </row>
    <row r="23" spans="2:6" s="35" customFormat="1" ht="30" customHeight="1" x14ac:dyDescent="0.2">
      <c r="B23" t="s">
        <v>24</v>
      </c>
      <c r="D23" s="35">
        <v>0</v>
      </c>
      <c r="E23" s="63">
        <v>46103</v>
      </c>
      <c r="F23" s="63">
        <v>46104</v>
      </c>
    </row>
    <row r="24" spans="2:6" s="35" customFormat="1" ht="30" customHeight="1" x14ac:dyDescent="0.2">
      <c r="B24" t="s">
        <v>25</v>
      </c>
      <c r="D24" s="35">
        <v>0</v>
      </c>
      <c r="E24" s="63">
        <v>46104</v>
      </c>
      <c r="F24" s="63">
        <v>46105</v>
      </c>
    </row>
    <row r="25" spans="2:6" s="35" customFormat="1" ht="30" customHeight="1" x14ac:dyDescent="0.2">
      <c r="B25" t="s">
        <v>26</v>
      </c>
      <c r="D25" s="35">
        <v>0</v>
      </c>
      <c r="E25" s="63">
        <v>46105</v>
      </c>
      <c r="F25" s="63">
        <v>46106</v>
      </c>
    </row>
    <row r="26" spans="2:6" s="35" customFormat="1" ht="30" customHeight="1" x14ac:dyDescent="0.2">
      <c r="B26" t="s">
        <v>27</v>
      </c>
      <c r="D26" s="35">
        <v>0</v>
      </c>
      <c r="E26" s="63">
        <v>46106</v>
      </c>
      <c r="F26" s="63">
        <v>46107</v>
      </c>
    </row>
    <row r="27" spans="2:6" s="35" customFormat="1" ht="30" customHeight="1" x14ac:dyDescent="0.2">
      <c r="B27" t="s">
        <v>28</v>
      </c>
      <c r="D27" s="35">
        <v>0</v>
      </c>
      <c r="E27" s="63">
        <v>46107</v>
      </c>
      <c r="F27" s="63">
        <v>46108</v>
      </c>
    </row>
    <row r="28" spans="2:6" s="35" customFormat="1" ht="30" customHeight="1" x14ac:dyDescent="0.2">
      <c r="B28" t="s">
        <v>29</v>
      </c>
      <c r="D28" s="35">
        <v>0</v>
      </c>
      <c r="E28" s="63">
        <v>46108</v>
      </c>
      <c r="F28" s="63">
        <v>46109</v>
      </c>
    </row>
    <row r="29" spans="2:6" s="35" customFormat="1" ht="30" customHeight="1" x14ac:dyDescent="0.2">
      <c r="B29" t="s">
        <v>30</v>
      </c>
      <c r="D29" s="35">
        <v>0</v>
      </c>
      <c r="E29" s="63">
        <v>46109</v>
      </c>
      <c r="F29" s="63">
        <v>46110</v>
      </c>
    </row>
    <row r="30" spans="2:6" s="35" customFormat="1" ht="30" customHeight="1" x14ac:dyDescent="0.2">
      <c r="B30" t="s">
        <v>31</v>
      </c>
      <c r="D30" s="35">
        <v>0</v>
      </c>
      <c r="E30" s="63">
        <v>46110</v>
      </c>
      <c r="F30" s="63">
        <v>46111</v>
      </c>
    </row>
    <row r="31" spans="2:6" s="35" customFormat="1" ht="30" customHeight="1" x14ac:dyDescent="0.2">
      <c r="B31" t="s">
        <v>32</v>
      </c>
      <c r="D31" s="35">
        <v>0</v>
      </c>
      <c r="E31" s="63">
        <v>46111</v>
      </c>
      <c r="F31" s="63">
        <v>46113</v>
      </c>
    </row>
    <row r="32" spans="2:6" s="35" customFormat="1" ht="30" customHeight="1" x14ac:dyDescent="0.2">
      <c r="B32" t="s">
        <v>33</v>
      </c>
      <c r="D32" s="35">
        <v>0</v>
      </c>
      <c r="E32" s="63">
        <v>46113</v>
      </c>
      <c r="F32" s="63">
        <v>46114</v>
      </c>
    </row>
    <row r="33" spans="1:64" s="35" customFormat="1" ht="30" customHeight="1" x14ac:dyDescent="0.2">
      <c r="B33" t="s">
        <v>34</v>
      </c>
      <c r="C33"/>
      <c r="D33" s="65">
        <v>0</v>
      </c>
      <c r="E33" s="63">
        <v>46114</v>
      </c>
      <c r="F33" s="63">
        <v>46115</v>
      </c>
    </row>
    <row r="34" spans="1:64" ht="30" customHeight="1" x14ac:dyDescent="0.2">
      <c r="B34" t="s">
        <v>35</v>
      </c>
      <c r="D34" s="65">
        <v>0</v>
      </c>
      <c r="E34" s="63">
        <v>46115</v>
      </c>
      <c r="F34" s="63">
        <v>46116</v>
      </c>
    </row>
    <row r="35" spans="1:64" ht="30" customHeight="1" thickBot="1" x14ac:dyDescent="0.3">
      <c r="B35" s="19"/>
      <c r="C35" s="20"/>
      <c r="D35" s="21"/>
      <c r="E35" s="22"/>
      <c r="F35" s="20"/>
    </row>
    <row r="36" spans="1:64" ht="30" customHeight="1" thickBot="1" x14ac:dyDescent="0.25">
      <c r="B36" s="36"/>
      <c r="C36" s="37"/>
      <c r="D36" s="38"/>
      <c r="E36" s="64"/>
      <c r="F36" s="64"/>
      <c r="G36" s="11"/>
      <c r="H36" s="5" t="str">
        <f>IF(OR(ISBLANK(task_start),ISBLANK(task_end)),"",task_end-task_start+1)</f>
        <v/>
      </c>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row>
    <row r="37" spans="1:64" ht="15" thickBot="1" x14ac:dyDescent="0.25">
      <c r="A37" s="8"/>
      <c r="B37" s="39"/>
      <c r="C37" s="40"/>
      <c r="D37" s="41"/>
      <c r="E37" s="42"/>
      <c r="F37" s="43"/>
      <c r="G37" s="11"/>
      <c r="H37" s="6" t="str">
        <f>IF(OR(ISBLANK(task_start),ISBLANK(task_end)),"",task_end-task_start+1)</f>
        <v/>
      </c>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row>
    <row r="38" spans="1:64" ht="14.25" x14ac:dyDescent="0.2">
      <c r="G38" s="3"/>
    </row>
    <row r="39" spans="1:64" ht="15" x14ac:dyDescent="0.25">
      <c r="C39" s="10"/>
      <c r="F39" s="9"/>
    </row>
    <row r="40" spans="1:64" ht="14.25" x14ac:dyDescent="0.2">
      <c r="C40" s="4"/>
    </row>
  </sheetData>
  <mergeCells count="18">
    <mergeCell ref="BF3:BL3"/>
    <mergeCell ref="AR3:AX3"/>
    <mergeCell ref="P3:V3"/>
    <mergeCell ref="I3:O3"/>
    <mergeCell ref="AY3:BE3"/>
    <mergeCell ref="Q1:Z1"/>
    <mergeCell ref="Q2:Z2"/>
    <mergeCell ref="I2:O2"/>
    <mergeCell ref="A5:A6"/>
    <mergeCell ref="E4:E5"/>
    <mergeCell ref="I1:O1"/>
    <mergeCell ref="AK3:AQ3"/>
    <mergeCell ref="W3:AC3"/>
    <mergeCell ref="AD3:AJ3"/>
    <mergeCell ref="C4:C5"/>
    <mergeCell ref="F4:F5"/>
    <mergeCell ref="D4:D5"/>
    <mergeCell ref="B4:B5"/>
  </mergeCells>
  <conditionalFormatting sqref="D6:D34">
    <cfRule type="dataBar" priority="23">
      <dataBar>
        <cfvo type="num" val="0"/>
        <cfvo type="num" val="1"/>
        <color theme="0"/>
      </dataBar>
    </cfRule>
  </conditionalFormatting>
  <conditionalFormatting sqref="BL7:BL31 BL3:BL5">
    <cfRule type="expression" dxfId="17" priority="38">
      <formula>AND(TODAY()&gt;=BL$4, TODAY()&lt;BM$5)</formula>
    </cfRule>
  </conditionalFormatting>
  <conditionalFormatting sqref="I7:BK31 I3:BK5">
    <cfRule type="expression" dxfId="16" priority="41">
      <formula>AND(TODAY()&gt;=I$4, TODAY()&lt;J$4)</formula>
    </cfRule>
  </conditionalFormatting>
  <conditionalFormatting sqref="BL9:BL13">
    <cfRule type="expression" dxfId="15" priority="46">
      <formula>AND(task_start&lt;=BL$4,ROUNDDOWN((task_end-task_start+1)*task_progress,0)+task_start-1&gt;=BL$4)</formula>
    </cfRule>
    <cfRule type="expression" dxfId="14" priority="47" stopIfTrue="1">
      <formula>AND(task_end&gt;=BL$4,task_start&lt;BM$5)</formula>
    </cfRule>
  </conditionalFormatting>
  <conditionalFormatting sqref="I9:BK13">
    <cfRule type="expression" dxfId="13" priority="48">
      <formula>AND(task_start&lt;=I$4,ROUNDDOWN((task_end-task_start+1)*task_progress,0)+task_start-1&gt;=I$4)</formula>
    </cfRule>
    <cfRule type="expression" dxfId="12" priority="49" stopIfTrue="1">
      <formula>AND(task_end&gt;=I$4,task_start&lt;J$4)</formula>
    </cfRule>
  </conditionalFormatting>
  <conditionalFormatting sqref="BL15:BL19">
    <cfRule type="expression" dxfId="11" priority="50">
      <formula>AND(task_start&lt;=BL$4,ROUNDDOWN((task_end-task_start+1)*task_progress,0)+task_start-1&gt;=BL$4)</formula>
    </cfRule>
    <cfRule type="expression" dxfId="10" priority="51" stopIfTrue="1">
      <formula>AND(task_end&gt;=BL$4,task_start&lt;BM$5)</formula>
    </cfRule>
  </conditionalFormatting>
  <conditionalFormatting sqref="I15:BK19">
    <cfRule type="expression" dxfId="9" priority="52">
      <formula>AND(task_start&lt;=I$4,ROUNDDOWN((task_end-task_start+1)*task_progress,0)+task_start-1&gt;=I$4)</formula>
    </cfRule>
    <cfRule type="expression" dxfId="8" priority="53" stopIfTrue="1">
      <formula>AND(task_end&gt;=I$4,task_start&lt;J$4)</formula>
    </cfRule>
  </conditionalFormatting>
  <conditionalFormatting sqref="BL21:BL25">
    <cfRule type="expression" dxfId="7" priority="54">
      <formula>AND(task_start&lt;=BL$4,ROUNDDOWN((task_end-task_start+1)*task_progress,0)+task_start-1&gt;=BL$4)</formula>
    </cfRule>
    <cfRule type="expression" dxfId="6" priority="55" stopIfTrue="1">
      <formula>AND(task_end&gt;=BL$4,task_start&lt;BM$5)</formula>
    </cfRule>
  </conditionalFormatting>
  <conditionalFormatting sqref="I21:BK25">
    <cfRule type="expression" dxfId="5" priority="56">
      <formula>AND(task_start&lt;=I$4,ROUNDDOWN((task_end-task_start+1)*task_progress,0)+task_start-1&gt;=I$4)</formula>
    </cfRule>
    <cfRule type="expression" dxfId="4" priority="57" stopIfTrue="1">
      <formula>AND(task_end&gt;=I$4,task_start&lt;J$4)</formula>
    </cfRule>
  </conditionalFormatting>
  <conditionalFormatting sqref="BL27:BL31">
    <cfRule type="expression" dxfId="3" priority="58">
      <formula>AND(task_start&lt;=BL$4,ROUNDDOWN((task_end-task_start+1)*task_progress,0)+task_start-1&gt;=BL$4)</formula>
    </cfRule>
    <cfRule type="expression" dxfId="2" priority="59" stopIfTrue="1">
      <formula>AND(task_end&gt;=BL$4,task_start&lt;BM$5)</formula>
    </cfRule>
  </conditionalFormatting>
  <conditionalFormatting sqref="I27:BK31">
    <cfRule type="expression" dxfId="1" priority="60">
      <formula>AND(task_start&lt;=I$4,ROUNDDOWN((task_end-task_start+1)*task_progress,0)+task_start-1&gt;=I$4)</formula>
    </cfRule>
    <cfRule type="expression" dxfId="0" priority="61" stopIfTrue="1">
      <formula>AND(task_end&gt;=I$4,task_start&lt;J$4)</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00000000-0002-0000-0000-000001000000}"/>
    <dataValidation allowBlank="1" showInputMessage="1" showErrorMessage="1" prompt="Enter Company name in cel B2." sqref="A2" xr:uid="{00000000-0002-0000-0000-000002000000}"/>
    <dataValidation allowBlank="1" showInputMessage="1" showErrorMessage="1" prompt="Enter the name of the Project Lead in cell C3. Enter the Project Start date in cell Q1. Project Start: label is in cell I1." sqref="A3" xr:uid="{00000000-0002-0000-0000-00000300000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4000000}"/>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000-000005000000}"/>
    <dataValidation allowBlank="1" showInputMessage="1" showErrorMessage="1" prompt="Cell B8 contains the Phase 1 sample title. Enter a new title in cell B8._x000a_To delete the phase and work only from tasks, simply delete this row." sqref="A8" xr:uid="{00000000-0002-0000-0000-0000060000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00000000-0002-0000-0000-000007000000}"/>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00000000-0002-0000-0000-00000800000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00000000-0002-0000-0000-000009000000}"/>
    <dataValidation allowBlank="1" showInputMessage="1" showErrorMessage="1" prompt="Phase 3's sample block starts in cell B20." sqref="A20" xr:uid="{00000000-0002-0000-0000-00000A000000}"/>
    <dataValidation allowBlank="1" showInputMessage="1" showErrorMessage="1" prompt="Phase 4's sample block starts in cell B26." sqref="A26" xr:uid="{00000000-0002-0000-0000-00000B000000}"/>
    <dataValidation allowBlank="1" showInputMessage="1" showErrorMessage="1" prompt="This row marks the end of the Project Schedule. DO NOT enter anything in this row. _x000a_Insert new rows ABOVE this one to continue building out your Project Schedule." sqref="A33" xr:uid="{00000000-0002-0000-0000-00000C000000}"/>
  </dataValidations>
  <printOptions horizontalCentered="1"/>
  <pageMargins left="0.35" right="0.35" top="0.35" bottom="0.5" header="0.3" footer="0.3"/>
  <pageSetup scale="57" fitToHeight="0" orientation="landscape" r:id="rId1"/>
  <headerFooter differentFirst="1" scaleWithDoc="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Mitchell, Wayne, 5871</dc:creator>
  <cp:lastModifiedBy>Mitchell, Wayne, 5871</cp:lastModifiedBy>
  <dcterms:created xsi:type="dcterms:W3CDTF">2022-03-11T22:41:12Z</dcterms:created>
  <dcterms:modified xsi:type="dcterms:W3CDTF">2026-02-22T11:14:34Z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